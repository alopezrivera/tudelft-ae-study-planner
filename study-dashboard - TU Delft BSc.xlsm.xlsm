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EF5B3E01-1D29-4AD3-BD98-A0504128AE57}" xr6:coauthVersionLast="47" xr6:coauthVersionMax="47" xr10:uidLastSave="{00000000-0000-0000-0000-000000000000}"/>
  <bookViews>
    <workbookView xWindow="-109" yWindow="-109" windowWidth="25377" windowHeight="14889" xr2:uid="{00000000-000D-0000-FFFF-FFFF00000000}"/>
  </bookViews>
  <sheets>
    <sheet name="Dashboard - Quarter" sheetId="14" r:id="rId1"/>
    <sheet name="Dashboard - Exams" sheetId="5" r:id="rId2"/>
    <sheet name="Modules" sheetId="2" r:id="rId3"/>
    <sheet name="Courses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2" l="1" a="1"/>
  <c r="D28" i="2" s="1"/>
  <c r="D27" i="2" a="1"/>
  <c r="D27" i="2" s="1"/>
  <c r="D26" i="2" a="1"/>
  <c r="D26" i="2" s="1"/>
  <c r="D25" i="2" a="1"/>
  <c r="D25" i="2" s="1"/>
  <c r="D24" i="2" a="1"/>
  <c r="D24" i="2"/>
  <c r="D23" i="2" a="1"/>
  <c r="D23" i="2" s="1"/>
  <c r="D22" i="2" a="1"/>
  <c r="D22" i="2" s="1"/>
  <c r="D21" i="2" a="1"/>
  <c r="D21" i="2" s="1"/>
  <c r="D20" i="2" a="1"/>
  <c r="D20" i="2" s="1"/>
  <c r="D19" i="2" a="1"/>
  <c r="D19" i="2" s="1"/>
  <c r="D18" i="2" a="1"/>
  <c r="D18" i="2"/>
  <c r="D17" i="2" a="1"/>
  <c r="D17" i="2" s="1"/>
  <c r="D16" i="2" a="1"/>
  <c r="D16" i="2" s="1"/>
  <c r="D15" i="2" a="1"/>
  <c r="D15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C3" i="2" a="1"/>
  <c r="C3" i="2" s="1"/>
  <c r="C4" i="2" a="1"/>
  <c r="C4" i="2" s="1"/>
  <c r="C5" i="2" a="1"/>
  <c r="C5" i="2" s="1"/>
  <c r="C6" i="2" a="1"/>
  <c r="C6" i="2" s="1"/>
  <c r="C7" i="2" a="1"/>
  <c r="C7" i="2" s="1"/>
  <c r="C8" i="2" a="1"/>
  <c r="C8" i="2"/>
  <c r="C9" i="2" a="1"/>
  <c r="C9" i="2" s="1"/>
  <c r="C10" i="2" a="1"/>
  <c r="C10" i="2" s="1"/>
  <c r="C11" i="2" a="1"/>
  <c r="C11" i="2" s="1"/>
  <c r="C12" i="2" a="1"/>
  <c r="C12" i="2" s="1"/>
  <c r="C13" i="2" a="1"/>
  <c r="C13" i="2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" i="2" a="1"/>
  <c r="C2" i="2" s="1"/>
  <c r="I5" i="1"/>
  <c r="I2" i="1"/>
  <c r="I3" i="1"/>
  <c r="I4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" i="1"/>
  <c r="B13" i="5" l="1" a="1"/>
  <c r="B13" i="5" s="1"/>
  <c r="B43" i="5" a="1"/>
  <c r="B43" i="5" s="1"/>
  <c r="J13" i="5" a="1"/>
  <c r="J13" i="5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" i="1"/>
  <c r="E7" i="14" l="1"/>
  <c r="E6" i="14"/>
  <c r="F19" i="1" l="1"/>
  <c r="F3" i="1"/>
  <c r="F20" i="1"/>
  <c r="F4" i="1"/>
  <c r="F21" i="1"/>
  <c r="F22" i="1"/>
  <c r="F23" i="1"/>
  <c r="F5" i="1"/>
  <c r="F6" i="1"/>
  <c r="F36" i="1"/>
  <c r="F37" i="1"/>
  <c r="F38" i="1"/>
  <c r="F39" i="1"/>
  <c r="F24" i="1"/>
  <c r="F25" i="1"/>
  <c r="F26" i="1"/>
  <c r="F7" i="1"/>
  <c r="F8" i="1"/>
  <c r="F9" i="1"/>
  <c r="F40" i="1"/>
  <c r="I21" i="2" s="1" a="1"/>
  <c r="I21" i="2" s="1"/>
  <c r="F27" i="1"/>
  <c r="F10" i="1"/>
  <c r="F11" i="1"/>
  <c r="F12" i="1"/>
  <c r="F28" i="1"/>
  <c r="F13" i="1"/>
  <c r="F41" i="1"/>
  <c r="F29" i="1"/>
  <c r="F30" i="1"/>
  <c r="F42" i="1"/>
  <c r="F43" i="1"/>
  <c r="F31" i="1"/>
  <c r="F32" i="1"/>
  <c r="F14" i="1"/>
  <c r="F15" i="1"/>
  <c r="F33" i="1"/>
  <c r="F34" i="1"/>
  <c r="F44" i="1"/>
  <c r="F45" i="1"/>
  <c r="F46" i="1"/>
  <c r="F35" i="1"/>
  <c r="F16" i="1"/>
  <c r="F17" i="1"/>
  <c r="F18" i="1"/>
  <c r="F2" i="1"/>
  <c r="N17" i="1"/>
  <c r="N16" i="1"/>
  <c r="N35" i="1"/>
  <c r="N46" i="1"/>
  <c r="N45" i="1"/>
  <c r="N44" i="1"/>
  <c r="N34" i="1"/>
  <c r="N33" i="1"/>
  <c r="N15" i="1"/>
  <c r="N14" i="1"/>
  <c r="N32" i="1"/>
  <c r="N31" i="1"/>
  <c r="N43" i="1"/>
  <c r="N42" i="1"/>
  <c r="N30" i="1"/>
  <c r="N29" i="1"/>
  <c r="N41" i="1"/>
  <c r="N13" i="1"/>
  <c r="N28" i="1"/>
  <c r="N12" i="1"/>
  <c r="N11" i="1"/>
  <c r="N10" i="1"/>
  <c r="N27" i="1"/>
  <c r="N40" i="1"/>
  <c r="N9" i="1"/>
  <c r="N8" i="1"/>
  <c r="N7" i="1"/>
  <c r="N26" i="1"/>
  <c r="N25" i="1"/>
  <c r="N24" i="1"/>
  <c r="N39" i="1"/>
  <c r="N38" i="1"/>
  <c r="N37" i="1"/>
  <c r="N36" i="1"/>
  <c r="N6" i="1"/>
  <c r="N5" i="1"/>
  <c r="N23" i="1"/>
  <c r="N22" i="1"/>
  <c r="N21" i="1"/>
  <c r="N4" i="1"/>
  <c r="N20" i="1"/>
  <c r="N3" i="1"/>
  <c r="N19" i="1"/>
  <c r="N2" i="1"/>
  <c r="N18" i="1"/>
  <c r="E23" i="2" a="1"/>
  <c r="E23" i="2" s="1"/>
  <c r="E12" i="2" a="1"/>
  <c r="E12" i="2" s="1"/>
  <c r="E2" i="2" a="1"/>
  <c r="E2" i="2" s="1"/>
  <c r="E3" i="2" a="1"/>
  <c r="E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E20" i="2" a="1"/>
  <c r="E20" i="2" s="1"/>
  <c r="E21" i="2" a="1"/>
  <c r="E21" i="2" s="1"/>
  <c r="E22" i="2" a="1"/>
  <c r="E2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1" i="2" a="1"/>
  <c r="E11" i="2" s="1"/>
  <c r="F3" i="2" a="1"/>
  <c r="F3" i="2" s="1"/>
  <c r="I3" i="2" l="1" a="1"/>
  <c r="I3" i="2" s="1"/>
  <c r="J3" i="2" s="1"/>
  <c r="G3" i="2" a="1"/>
  <c r="G3" i="2" s="1"/>
  <c r="H3" i="2" s="1"/>
  <c r="I14" i="2" a="1"/>
  <c r="I14" i="2" s="1"/>
  <c r="I23" i="2" a="1"/>
  <c r="I23" i="2" s="1"/>
  <c r="I20" i="2" a="1"/>
  <c r="I20" i="2" s="1"/>
  <c r="J20" i="2" s="1"/>
  <c r="I7" i="2" a="1"/>
  <c r="I7" i="2" s="1"/>
  <c r="I12" i="2" a="1"/>
  <c r="I12" i="2" s="1"/>
  <c r="J12" i="2" s="1"/>
  <c r="I26" i="2" a="1"/>
  <c r="I26" i="2" s="1"/>
  <c r="G12" i="2" a="1"/>
  <c r="G12" i="2" s="1"/>
  <c r="H12" i="2" s="1"/>
  <c r="F20" i="2" a="1"/>
  <c r="F20" i="2" s="1"/>
  <c r="G20" i="2" a="1"/>
  <c r="G20" i="2" s="1"/>
  <c r="H20" i="2" s="1"/>
  <c r="G21" i="2" a="1"/>
  <c r="G21" i="2" s="1"/>
  <c r="H21" i="2" s="1"/>
  <c r="J21" i="2"/>
  <c r="F21" i="2" a="1"/>
  <c r="F21" i="2" s="1"/>
  <c r="I6" i="2" a="1"/>
  <c r="I6" i="2" s="1"/>
  <c r="I2" i="2" a="1"/>
  <c r="I2" i="2" s="1"/>
  <c r="I24" i="2" a="1"/>
  <c r="I24" i="2" s="1"/>
  <c r="I22" i="2" a="1"/>
  <c r="I22" i="2" s="1"/>
  <c r="I9" i="2" a="1"/>
  <c r="I9" i="2" s="1"/>
  <c r="I25" i="2" a="1"/>
  <c r="I25" i="2" s="1"/>
  <c r="J30" i="5" a="1"/>
  <c r="J30" i="5" s="1"/>
  <c r="I17" i="2" a="1"/>
  <c r="I17" i="2" s="1"/>
  <c r="I28" i="2" a="1"/>
  <c r="I28" i="2" s="1"/>
  <c r="I8" i="2" a="1"/>
  <c r="I8" i="2" s="1"/>
  <c r="I16" i="2" a="1"/>
  <c r="I16" i="2" s="1"/>
  <c r="I27" i="2" a="1"/>
  <c r="I27" i="2" s="1"/>
  <c r="G13" i="2" a="1"/>
  <c r="G13" i="2" s="1"/>
  <c r="H13" i="2" s="1"/>
  <c r="I4" i="2" a="1"/>
  <c r="I4" i="2" s="1"/>
  <c r="F12" i="2" a="1"/>
  <c r="F12" i="2" s="1"/>
  <c r="I18" i="2" a="1"/>
  <c r="I18" i="2" s="1"/>
  <c r="I15" i="2" a="1"/>
  <c r="I15" i="2" s="1"/>
  <c r="I19" i="2" a="1"/>
  <c r="I19" i="2" s="1"/>
  <c r="I10" i="2" a="1"/>
  <c r="I10" i="2" s="1"/>
  <c r="I11" i="2" l="1" a="1"/>
  <c r="I11" i="2" s="1"/>
  <c r="J11" i="2" s="1"/>
  <c r="B30" i="5" a="1"/>
  <c r="B30" i="5" s="1"/>
  <c r="F13" i="2" a="1"/>
  <c r="F13" i="2" s="1"/>
  <c r="I5" i="2" a="1"/>
  <c r="I5" i="2" s="1"/>
  <c r="J5" i="2" s="1"/>
  <c r="I13" i="2" a="1"/>
  <c r="I13" i="2" s="1"/>
  <c r="J13" i="2" s="1"/>
  <c r="J7" i="2"/>
  <c r="G7" i="2" a="1"/>
  <c r="G7" i="2" s="1"/>
  <c r="H7" i="2" s="1"/>
  <c r="F7" i="2" a="1"/>
  <c r="F7" i="2" s="1"/>
  <c r="J25" i="2"/>
  <c r="G25" i="2" a="1"/>
  <c r="G25" i="2" s="1"/>
  <c r="H25" i="2" s="1"/>
  <c r="F25" i="2" a="1"/>
  <c r="F25" i="2" s="1"/>
  <c r="G19" i="2" a="1"/>
  <c r="G19" i="2" s="1"/>
  <c r="H19" i="2" s="1"/>
  <c r="J19" i="2"/>
  <c r="F19" i="2" a="1"/>
  <c r="F19" i="2" s="1"/>
  <c r="F9" i="2" a="1"/>
  <c r="F9" i="2" s="1"/>
  <c r="G9" i="2" a="1"/>
  <c r="G9" i="2" s="1"/>
  <c r="H9" i="2" s="1"/>
  <c r="J9" i="2"/>
  <c r="F27" i="2" a="1"/>
  <c r="F27" i="2" s="1"/>
  <c r="J27" i="2"/>
  <c r="G27" i="2" a="1"/>
  <c r="G27" i="2" s="1"/>
  <c r="H27" i="2" s="1"/>
  <c r="G6" i="2" a="1"/>
  <c r="G6" i="2" s="1"/>
  <c r="H6" i="2" s="1"/>
  <c r="J6" i="2"/>
  <c r="F6" i="2" a="1"/>
  <c r="F6" i="2" s="1"/>
  <c r="F16" i="2" a="1"/>
  <c r="F16" i="2" s="1"/>
  <c r="J16" i="2"/>
  <c r="G16" i="2" a="1"/>
  <c r="G16" i="2" s="1"/>
  <c r="H16" i="2" s="1"/>
  <c r="G8" i="2" a="1"/>
  <c r="G8" i="2" s="1"/>
  <c r="H8" i="2" s="1"/>
  <c r="J8" i="2"/>
  <c r="F8" i="2" a="1"/>
  <c r="F8" i="2" s="1"/>
  <c r="F22" i="2" a="1"/>
  <c r="F22" i="2" s="1"/>
  <c r="G22" i="2" a="1"/>
  <c r="G22" i="2" s="1"/>
  <c r="H22" i="2" s="1"/>
  <c r="J22" i="2"/>
  <c r="J14" i="2"/>
  <c r="F14" i="2" a="1"/>
  <c r="F14" i="2" s="1"/>
  <c r="G14" i="2" a="1"/>
  <c r="G14" i="2" s="1"/>
  <c r="H14" i="2" s="1"/>
  <c r="F28" i="2" a="1"/>
  <c r="F28" i="2" s="1"/>
  <c r="G28" i="2" a="1"/>
  <c r="G28" i="2" s="1"/>
  <c r="H28" i="2" s="1"/>
  <c r="J28" i="2"/>
  <c r="F15" i="2" a="1"/>
  <c r="F15" i="2" s="1"/>
  <c r="J15" i="2"/>
  <c r="G15" i="2" a="1"/>
  <c r="G15" i="2" s="1"/>
  <c r="H15" i="2" s="1"/>
  <c r="F18" i="2" a="1"/>
  <c r="F18" i="2" s="1"/>
  <c r="G18" i="2" a="1"/>
  <c r="G18" i="2" s="1"/>
  <c r="H18" i="2" s="1"/>
  <c r="J18" i="2"/>
  <c r="G11" i="2" a="1"/>
  <c r="G11" i="2" s="1"/>
  <c r="H11" i="2" s="1"/>
  <c r="F11" i="2" a="1"/>
  <c r="F11" i="2" s="1"/>
  <c r="F17" i="2" a="1"/>
  <c r="F17" i="2" s="1"/>
  <c r="G17" i="2" a="1"/>
  <c r="G17" i="2" s="1"/>
  <c r="H17" i="2" s="1"/>
  <c r="J17" i="2"/>
  <c r="J4" i="2"/>
  <c r="F5" i="2" a="1"/>
  <c r="F5" i="2" s="1"/>
  <c r="G4" i="2" a="1"/>
  <c r="G4" i="2" s="1"/>
  <c r="H4" i="2" s="1"/>
  <c r="F4" i="2" a="1"/>
  <c r="F4" i="2" s="1"/>
  <c r="G5" i="2" a="1"/>
  <c r="G5" i="2" s="1"/>
  <c r="H5" i="2" s="1"/>
  <c r="J24" i="2"/>
  <c r="F24" i="2" a="1"/>
  <c r="F24" i="2" s="1"/>
  <c r="G24" i="2" a="1"/>
  <c r="G24" i="2" s="1"/>
  <c r="H24" i="2" s="1"/>
  <c r="F10" i="2" a="1"/>
  <c r="F10" i="2" s="1"/>
  <c r="G10" i="2" a="1"/>
  <c r="G10" i="2" s="1"/>
  <c r="H10" i="2" s="1"/>
  <c r="J10" i="2"/>
  <c r="F2" i="2" a="1"/>
  <c r="F2" i="2" s="1"/>
  <c r="J2" i="2"/>
  <c r="G2" i="2" a="1"/>
  <c r="G2" i="2" s="1"/>
  <c r="H2" i="2" s="1"/>
  <c r="F23" i="2" a="1"/>
  <c r="F23" i="2" s="1"/>
  <c r="G23" i="2" a="1"/>
  <c r="G23" i="2" s="1"/>
  <c r="H23" i="2" s="1"/>
  <c r="J23" i="2"/>
  <c r="F26" i="2" a="1"/>
  <c r="F26" i="2" s="1"/>
  <c r="G26" i="2" a="1"/>
  <c r="G26" i="2" s="1"/>
  <c r="H26" i="2" s="1"/>
  <c r="J26" i="2"/>
  <c r="C7" i="5" l="1" a="1"/>
  <c r="C7" i="5" s="1"/>
  <c r="C6" i="5" a="1"/>
  <c r="C6" i="5" s="1"/>
  <c r="C2" i="5"/>
  <c r="C3" i="5" a="1"/>
  <c r="C3" i="5" s="1"/>
  <c r="H8" i="14" a="1"/>
  <c r="H16" i="14" a="1"/>
  <c r="H10" i="14" a="1"/>
  <c r="H11" i="14" a="1"/>
  <c r="H14" i="14" a="1"/>
  <c r="H5" i="14" a="1"/>
  <c r="H18" i="14" a="1"/>
  <c r="H12" i="14" a="1"/>
  <c r="H19" i="14" a="1"/>
  <c r="H6" i="14" a="1"/>
  <c r="H7" i="14" a="1"/>
  <c r="H13" i="14" a="1"/>
  <c r="H17" i="14" a="1"/>
  <c r="H15" i="14" a="1"/>
  <c r="H9" i="14" a="1"/>
  <c r="C5" i="5" l="1" a="1"/>
  <c r="C5" i="5" s="1"/>
  <c r="C4" i="5" a="1"/>
  <c r="C4" i="5" s="1"/>
  <c r="H17" i="14"/>
  <c r="I17" i="14" s="1" a="1"/>
  <c r="I17" i="14" s="1"/>
  <c r="H13" i="14"/>
  <c r="I13" i="14" s="1" a="1"/>
  <c r="I13" i="14" s="1"/>
  <c r="H10" i="14"/>
  <c r="I10" i="14" s="1" a="1"/>
  <c r="I10" i="14" s="1"/>
  <c r="H16" i="14"/>
  <c r="I16" i="14" s="1" a="1"/>
  <c r="I16" i="14" s="1"/>
  <c r="H12" i="14"/>
  <c r="I12" i="14" s="1" a="1"/>
  <c r="I12" i="14" s="1"/>
  <c r="H19" i="14"/>
  <c r="I19" i="14" s="1" a="1"/>
  <c r="I19" i="14" s="1"/>
  <c r="H15" i="14"/>
  <c r="I15" i="14" s="1" a="1"/>
  <c r="I15" i="14" s="1"/>
  <c r="H14" i="14"/>
  <c r="I14" i="14" s="1" a="1"/>
  <c r="I14" i="14" s="1"/>
  <c r="H18" i="14"/>
  <c r="I18" i="14" s="1" a="1"/>
  <c r="I18" i="14" s="1"/>
  <c r="H11" i="14"/>
  <c r="I11" i="14" s="1" a="1"/>
  <c r="I11" i="14" s="1"/>
  <c r="H8" i="14"/>
  <c r="I8" i="14" s="1" a="1"/>
  <c r="I8" i="14" s="1"/>
  <c r="H7" i="14"/>
  <c r="I7" i="14" s="1" a="1"/>
  <c r="I7" i="14" s="1"/>
  <c r="H6" i="14"/>
  <c r="I6" i="14" s="1" a="1"/>
  <c r="I6" i="14" s="1"/>
  <c r="H9" i="14"/>
  <c r="I9" i="14" s="1" a="1"/>
  <c r="I9" i="14" s="1"/>
  <c r="H5" i="14"/>
  <c r="J5" i="14" s="1" a="1"/>
  <c r="J5" i="14" s="1"/>
  <c r="I5" i="14" l="1" a="1"/>
  <c r="I5" i="14" s="1"/>
  <c r="J13" i="14" a="1"/>
  <c r="J13" i="14" s="1"/>
  <c r="J6" i="14" a="1"/>
  <c r="J6" i="14" s="1"/>
  <c r="J7" i="14" a="1"/>
  <c r="J7" i="14" s="1"/>
  <c r="J8" i="14" a="1"/>
  <c r="J8" i="14" s="1"/>
  <c r="J11" i="14" a="1"/>
  <c r="J11" i="14" s="1"/>
  <c r="J15" i="14" a="1"/>
  <c r="J15" i="14" s="1"/>
  <c r="J19" i="14" a="1"/>
  <c r="J19" i="14" s="1"/>
  <c r="J12" i="14" a="1"/>
  <c r="J12" i="14" s="1"/>
  <c r="J16" i="14" a="1"/>
  <c r="J16" i="14" s="1"/>
  <c r="J10" i="14" a="1"/>
  <c r="J10" i="14" s="1"/>
  <c r="J9" i="14" a="1"/>
  <c r="J9" i="14" s="1"/>
  <c r="J17" i="14" a="1"/>
  <c r="J17" i="14" s="1"/>
  <c r="J18" i="14" a="1"/>
  <c r="J18" i="14" s="1"/>
  <c r="J14" i="14" a="1"/>
  <c r="J14" i="14" s="1"/>
  <c r="E8" i="14" a="1"/>
  <c r="E8" i="14" s="1"/>
  <c r="I4" i="14" l="1"/>
  <c r="J4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A4C406-0EC5-4E6F-87D3-EC1E94A9B1AA}" keepAlive="1" name="Query - grades" description="Connection to the 'grades' query in the workbook." type="5" refreshedVersion="7" background="1" saveData="1">
    <dbPr connection="Provider=Microsoft.Mashup.OleDb.1;Data Source=$Workbook$;Location=grades;Extended Properties=&quot;&quot;" command="SELECT * FROM [grades]"/>
  </connection>
  <connection id="2" xr16:uid="{20B4D1DD-AF8F-4B1C-BA96-FE1FD65B9C4B}" keepAlive="1" name="Query - grades (2)" description="Connection to the 'grades (2)' query in the workbook." type="5" refreshedVersion="7" background="1" saveData="1">
    <dbPr connection="Provider=Microsoft.Mashup.OleDb.1;Data Source=$Workbook$;Location=&quot;grades (2)&quot;;Extended Properties=&quot;&quot;" command="SELECT * FROM [grades (2)]"/>
  </connection>
  <connection id="3" xr16:uid="{5CBFECB6-7929-4503-AA64-B1F1D90C21BD}" keepAlive="1" name="Query - grades (3)" description="Connection to the 'grades (3)' query in the workbook." type="5" refreshedVersion="7" background="1" saveData="1">
    <dbPr connection="Provider=Microsoft.Mashup.OleDb.1;Data Source=$Workbook$;Location=&quot;grades (3)&quot;;Extended Properties=&quot;&quot;" command="SELECT * FROM [grades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<sst xmlns="http://schemas.openxmlformats.org/spreadsheetml/2006/main" count="152" uniqueCount="105">
  <si>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</si>
  <si>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</si>
  <si>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</si>
  <si>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</si>
  <si>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</si>
  <si>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</si>
  <si>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</si>
  <si>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</si>
  <si>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</si>
  <si>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</si>
  <si>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</si>
  <si>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</si>
  <si>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</si>
  <si>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</si>
  <si>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</si>
  <si>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</si>
  <si>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</si>
  <si>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</si>
  <si>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</si>
  <si>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</si>
  <si>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</si>
  <si>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</si>
  <si>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</si>
  <si>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</si>
  <si>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</si>
  <si>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</si>
  <si>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</si>
  <si>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</si>
  <si>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</si>
  <si>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</si>
  <si>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</si>
  <si>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</si>
  <si>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</si>
  <si>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</si>
  <si>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</si>
  <si>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</si>
  <si>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</si>
  <si>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</si>
  <si>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</si>
  <si>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</si>
  <si>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</si>
  <si>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</si>
  <si>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</si>
  <si>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</si>
  <si>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</si>
  <si>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</si>
  <si>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</si>
  <si>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</si>
  <si>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</si>
  <si>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</si>
  <si>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</si>
  <si>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</si>
  <si>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</si>
  <si>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</si>
  <si>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</si>
  <si>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</si>
  <si>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</si>
  <si>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</si>
  <si>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</si>
  <si>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</si>
  <si>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</si>
  <si>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</si>
  <si>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</si>
  <si>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</si>
  <si>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</si>
  <si>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</si>
  <si>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</si>
  <si>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</si>
  <si>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</si>
  <si>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</si>
  <si>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</si>
  <si>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Current average</t>
  </si>
  <si>
    <t>Possible grade</t>
  </si>
  <si>
    <t>Maximum grade</t>
  </si>
  <si>
    <t>Plausible grade</t>
  </si>
  <si>
    <t>Current grade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</si>
  <si>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</si>
  <si>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</si>
  <si>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</si>
  <si>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</si>
  <si>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</si>
  <si>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</si>
  <si>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</si>
  <si>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</si>
  <si>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</si>
  <si>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</si>
  <si>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</si>
  <si>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</si>
  <si>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</si>
  <si>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</si>
  <si>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</si>
  <si>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</si>
  <si>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</si>
  <si>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</si>
  <si>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</si>
  <si>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</si>
  <si>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Maximum possible grade</t>
  </si>
  <si>
    <t>PLANNED GRADE</t>
  </si>
  <si>
    <t>Days left</t>
  </si>
  <si>
    <t>Q5</t>
  </si>
  <si>
    <t>Planned average for Cum Laude (without Minor)</t>
  </si>
  <si>
    <t>BCS average for Cum Laude</t>
  </si>
  <si>
    <t>Maximum weight</t>
  </si>
  <si>
    <t>Possible weight</t>
  </si>
  <si>
    <t>1 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</si>
</sst>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AE Year&quot;\ #"/>
    <numFmt numFmtId="165" formatCode="dd/mm;@"/>
    <numFmt numFmtId="166" formatCode="hh:mm;@"/>
    <numFmt numFmtId="167" formatCode="dd:hh:mm;@"/>
    <numFmt numFmtId="168" formatCode="&quot;Q&quot;#"/>
    <numFmt numFmtId="169" formatCode="#\ &quot;h&quot;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Protection="1"/>
    <xf numFmtId="0" fontId="0" fillId="10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0" borderId="12" xfId="0" applyFill="1" applyBorder="1" applyAlignment="1" applyProtection="1">
      <alignment vertical="center"/>
    </xf>
    <xf numFmtId="0" fontId="0" fillId="10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1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0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2" borderId="0" xfId="0" applyFont="1" applyFill="1" applyAlignment="1" applyProtection="1">
      <alignment horizontal="center"/>
    </xf>
    <xf numFmtId="0" fontId="0" fillId="12" borderId="0" xfId="0" applyFont="1" applyFill="1" applyAlignment="1" applyProtection="1">
      <alignment horizontal="center" vertical="center"/>
    </xf>
    <xf numFmtId="0" fontId="0" fillId="0" borderId="8" xfId="0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168" fontId="0" fillId="10" borderId="9" xfId="0" applyNumberFormat="1" applyFill="1" applyBorder="1" applyAlignment="1" applyProtection="1">
      <alignment vertical="center"/>
    </xf>
    <xf numFmtId="0" fontId="0" fillId="13" borderId="0" xfId="0" applyFont="1" applyFill="1" applyAlignment="1" applyProtection="1">
      <alignment horizontal="center" vertical="center"/>
    </xf>
    <xf numFmtId="0" fontId="0" fillId="0" borderId="5" xfId="0" applyFont="1" applyFill="1" applyBorder="1" applyProtection="1"/>
    <xf numFmtId="0" fontId="0" fillId="14" borderId="1" xfId="0" applyFont="1" applyFill="1" applyBorder="1" applyProtection="1"/>
    <xf numFmtId="2" fontId="0" fillId="14" borderId="2" xfId="0" applyNumberFormat="1" applyFont="1" applyFill="1" applyBorder="1" applyAlignment="1" applyProtection="1">
      <alignment horizontal="right"/>
    </xf>
    <xf numFmtId="169" fontId="0" fillId="0" borderId="0" xfId="0" applyNumberFormat="1" applyFont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169" fontId="7" fillId="0" borderId="2" xfId="0" applyNumberFormat="1" applyFont="1" applyBorder="1" applyAlignment="1" applyProtection="1">
      <alignment horizontal="center" vertical="center"/>
    </xf>
    <xf numFmtId="169" fontId="7" fillId="0" borderId="6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33"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theme="1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9"/>
      </font>
      <numFmt numFmtId="170" formatCode="&quot;On track ~ &quot;\ #.##"/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FF9E7"/>
      <color rgb="FFF67E7E"/>
      <color rgb="FFFFD5D5"/>
      <color rgb="FFFEE3AC"/>
      <color rgb="FFEFEADB"/>
      <color rgb="FFA80000"/>
      <color rgb="FF600000"/>
      <color rgb="FFA20000"/>
      <color rgb="FFA9D08E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tabSelected="1" zoomScale="85" zoomScaleNormal="85" workbookViewId="0">
      <selection activeCell="H11" sqref="H11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5.5" style="1" customWidth="1"/>
    <col min="9" max="10" width="8.875" style="1" customWidth="1"/>
    <col min="11" max="16384" width="9" style="1"/>
  </cols>
  <sheetData>
    <row r="3" spans="3:11" ht="14.95" customHeight="1" thickBot="1" x14ac:dyDescent="0.3">
      <c r="I3" s="22" t="s">
        <v>94</v>
      </c>
      <c r="J3" s="23" t="s">
        <v>95</v>
      </c>
    </row>
    <row r="4" spans="3:11" ht="14.95" customHeight="1" x14ac:dyDescent="0.25">
      <c r="C4" s="71">
        <v>1</v>
      </c>
      <c r="D4" s="2" t="s">
        <v>90</v>
      </c>
      <c r="E4" s="3">
        <v>44321</v>
      </c>
      <c r="H4" s="24" t="s">
        <v>69</v>
      </c>
      <c r="I4" s="29">
        <f ca="1">SUM(I5:I104)</f>
        <v>0.37187500000000001</v>
      </c>
      <c r="J4" s="30">
        <f ca="1">SUM(J5:J104)</f>
        <v>0.28923611111111108</v>
      </c>
    </row>
    <row r="5" spans="3:11" ht="14.95" customHeight="1" x14ac:dyDescent="0.25">
      <c r="C5" s="5"/>
      <c r="D5" s="6" t="s">
        <v>91</v>
      </c>
      <c r="E5" s="7">
        <v>44369</v>
      </c>
      <c r="H5" s="69" t="str" cm="1">
        <f t="array" aca="1" ref="H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AE1110-I Introduction to Aerospace Engineering I</v>
      </c>
      <c r="I5" s="26" cm="1">
        <f t="array" aca="1" ref="I5" ca="1">IF(
AND(NOT(ISBLANK(H5)),
NOT(ISERROR(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/24))),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/24,
"")</f>
        <v>0.109375</v>
      </c>
      <c r="J5" s="26" cm="1">
        <f t="array" aca="1" ref="J5" ca="1">IF(AND(
NOT(ISBLANK(H5)),
NOT(ISERROR(_xlfn._xlws.FILTER(_xlfn._xlws.FILTER(Courses!$B$2:$N$46, IF(NOT(ISERROR(SEARCH(H5, Courses!$B$2:$B$46, 1))), TRUE, FALSE)), {0,0,0,0,0,0,0,0,0,0,1,0,0})
/E$6
/24))),
_xlfn._xlws.FILTER(_xlfn._xlws.FILTER(Courses!$B$2:$N$46, IF(NOT(ISERROR(SEARCH(H5, Courses!$B$2:$B$46, 1))), TRUE, FALSE)), {0,0,0,0,0,0,0,0,0,0,1,0,0})
/E$6
/24,
"")</f>
        <v>8.5069444444444434E-2</v>
      </c>
    </row>
    <row r="6" spans="3:11" x14ac:dyDescent="0.25">
      <c r="C6" s="5"/>
      <c r="D6" s="6" t="s">
        <v>92</v>
      </c>
      <c r="E6" s="8">
        <f>E5-E4</f>
        <v>48</v>
      </c>
      <c r="H6" s="70" t="str" cm="1">
        <f t="array" aca="1" ref="H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AE1130-I Statics</v>
      </c>
      <c r="I6" s="25" cm="1">
        <f t="array" aca="1" ref="I6" ca="1">IF(
AND(NOT(ISBLANK(H6)),
NOT(ISERROR(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/24))),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/24,
"")</f>
        <v>8.7500000000000008E-2</v>
      </c>
      <c r="J6" s="25" cm="1">
        <f t="array" aca="1" ref="J6" ca="1">IF(AND(
NOT(ISBLANK(H6)),
NOT(ISERROR(_xlfn._xlws.FILTER(_xlfn._xlws.FILTER(Courses!$B$2:$N$46, IF(NOT(ISERROR(SEARCH(H6, Courses!$B$2:$B$46, 1))), TRUE, FALSE)), {0,0,0,0,0,0,0,0,0,0,1,0,0})
/E$6
/24))),
_xlfn._xlws.FILTER(_xlfn._xlws.FILTER(Courses!$B$2:$N$46, IF(NOT(ISERROR(SEARCH(H6, Courses!$B$2:$B$46, 1))), TRUE, FALSE)), {0,0,0,0,0,0,0,0,0,0,1,0,0})
/E$6
/24,
"")</f>
        <v>6.8055555555555564E-2</v>
      </c>
    </row>
    <row r="7" spans="3:11" ht="14.95" thickBot="1" x14ac:dyDescent="0.3">
      <c r="C7" s="5"/>
      <c r="D7" s="33" t="s">
        <v>98</v>
      </c>
      <c r="E7" s="9">
        <f ca="1">E5-TODAY()</f>
        <v>18</v>
      </c>
      <c r="F7" s="10"/>
      <c r="H7" s="70" t="str" cm="1">
        <f t="array" aca="1" ref="H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WI1421LR Calculus I-A</v>
      </c>
      <c r="I7" s="25" cm="1">
        <f t="array" aca="1" ref="I7" ca="1">IF(
AND(NOT(ISBLANK(H7)),
NOT(ISERROR(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/24))),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/24,
"")</f>
        <v>6.5625000000000003E-2</v>
      </c>
      <c r="J7" s="25" cm="1">
        <f t="array" aca="1" ref="J7" ca="1">IF(AND(
NOT(ISBLANK(H7)),
NOT(ISERROR(_xlfn._xlws.FILTER(_xlfn._xlws.FILTER(Courses!$B$2:$N$46, IF(NOT(ISERROR(SEARCH(H7, Courses!$B$2:$B$46, 1))), TRUE, FALSE)), {0,0,0,0,0,0,0,0,0,0,1,0,0})
/E$6
/24))),
_xlfn._xlws.FILTER(_xlfn._xlws.FILTER(Courses!$B$2:$N$46, IF(NOT(ISERROR(SEARCH(H7, Courses!$B$2:$B$46, 1))), TRUE, FALSE)), {0,0,0,0,0,0,0,0,0,0,1,0,0})
/E$6
/24,
"")</f>
        <v>5.1041666666666659E-2</v>
      </c>
    </row>
    <row r="8" spans="3:11" ht="14.95" thickBot="1" x14ac:dyDescent="0.3">
      <c r="C8" s="11"/>
      <c r="D8" s="12" t="s">
        <v>93</v>
      </c>
      <c r="E8" s="13" cm="1">
        <f t="array" aca="1" ref="E8" ca="1">COUNTA(_xlfn._xlws.FILTER(H5:H19, (NOT(H5:H19 = "None"))))</f>
        <v>5</v>
      </c>
      <c r="H8" s="70" t="str" cm="1">
        <f t="array" aca="1" ref="H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AE1111-I Exploring Aerospace Engineering</v>
      </c>
      <c r="I8" s="25" cm="1">
        <f t="array" aca="1" ref="I8" ca="1">IF(
AND(NOT(ISBLANK(H8)),
NOT(ISERROR(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/24))),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/24,
"")</f>
        <v>6.5625000000000003E-2</v>
      </c>
      <c r="J8" s="25" cm="1">
        <f t="array" aca="1" ref="J8" ca="1">IF(AND(
NOT(ISBLANK(H8)),
NOT(ISERROR(_xlfn._xlws.FILTER(_xlfn._xlws.FILTER(Courses!$B$2:$N$46, IF(NOT(ISERROR(SEARCH(H8, Courses!$B$2:$B$46, 1))), TRUE, FALSE)), {0,0,0,0,0,0,0,0,0,0,1,0,0})
/E$6
/24))),
_xlfn._xlws.FILTER(_xlfn._xlws.FILTER(Courses!$B$2:$N$46, IF(NOT(ISERROR(SEARCH(H8, Courses!$B$2:$B$46, 1))), TRUE, FALSE)), {0,0,0,0,0,0,0,0,0,0,1,0,0})
/E$6
/24,
"")</f>
        <v>5.1041666666666659E-2</v>
      </c>
    </row>
    <row r="9" spans="3:11" x14ac:dyDescent="0.25">
      <c r="H9" s="70" t="str" cm="1">
        <f t="array" aca="1" ref="H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AE1111-II Engineering Drawing</v>
      </c>
      <c r="I9" s="25" cm="1">
        <f t="array" aca="1" ref="I9" ca="1">IF(
AND(NOT(ISBLANK(H9)),
NOT(ISERROR(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/24))),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/24,
"")</f>
        <v>4.3750000000000004E-2</v>
      </c>
      <c r="J9" s="25" cm="1">
        <f t="array" aca="1" ref="J9" ca="1">IF(AND(
NOT(ISBLANK(H9)),
NOT(ISERROR(_xlfn._xlws.FILTER(_xlfn._xlws.FILTER(Courses!$B$2:$N$46, IF(NOT(ISERROR(SEARCH(H9, Courses!$B$2:$B$46, 1))), TRUE, FALSE)), {0,0,0,0,0,0,0,0,0,0,1,0,0})
/E$6
/24))),
_xlfn._xlws.FILTER(_xlfn._xlws.FILTER(Courses!$B$2:$N$46, IF(NOT(ISERROR(SEARCH(H9, Courses!$B$2:$B$46, 1))), TRUE, FALSE)), {0,0,0,0,0,0,0,0,0,0,1,0,0})
/E$6
/24,
"")</f>
        <v>3.4027777777777782E-2</v>
      </c>
      <c r="K9" s="14"/>
    </row>
    <row r="10" spans="3:11" x14ac:dyDescent="0.25">
      <c r="H10" s="70" t="str" cm="1">
        <f t="array" aca="1" ref="H10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0" s="25" t="str" cm="1">
        <f t="array" aca="1" ref="I10" ca="1">IF(
AND(NOT(ISBLANK(H10)),
NOT(ISERROR(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/24))),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/24,
"")</f>
        <v/>
      </c>
      <c r="J10" s="25" t="str" cm="1">
        <f t="array" aca="1" ref="J10" ca="1">IF(AND(
NOT(ISBLANK(H10)),
NOT(ISERROR(_xlfn._xlws.FILTER(_xlfn._xlws.FILTER(Courses!$B$2:$N$46, IF(NOT(ISERROR(SEARCH(H10, Courses!$B$2:$B$46, 1))), TRUE, FALSE)), {0,0,0,0,0,0,0,0,0,0,1,0,0})
/E$6
/24))),
_xlfn._xlws.FILTER(_xlfn._xlws.FILTER(Courses!$B$2:$N$46, IF(NOT(ISERROR(SEARCH(H10, Courses!$B$2:$B$46, 1))), TRUE, FALSE)), {0,0,0,0,0,0,0,0,0,0,1,0,0})
/E$6
/24,
"")</f>
        <v/>
      </c>
    </row>
    <row r="11" spans="3:11" x14ac:dyDescent="0.25">
      <c r="H11" s="70" t="str" cm="1">
        <f t="array" aca="1" ref="H11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1" s="25" t="str" cm="1">
        <f t="array" aca="1" ref="I11" ca="1">IF(
AND(NOT(ISBLANK(H11)),
NOT(ISERROR(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/24))),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/24,
"")</f>
        <v/>
      </c>
      <c r="J11" s="25" t="str" cm="1">
        <f t="array" aca="1" ref="J11" ca="1">IF(AND(
NOT(ISBLANK(H11)),
NOT(ISERROR(_xlfn._xlws.FILTER(_xlfn._xlws.FILTER(Courses!$B$2:$N$46, IF(NOT(ISERROR(SEARCH(H11, Courses!$B$2:$B$46, 1))), TRUE, FALSE)), {0,0,0,0,0,0,0,0,0,0,1,0,0})
/E$6
/24))),
_xlfn._xlws.FILTER(_xlfn._xlws.FILTER(Courses!$B$2:$N$46, IF(NOT(ISERROR(SEARCH(H11, Courses!$B$2:$B$46, 1))), TRUE, FALSE)), {0,0,0,0,0,0,0,0,0,0,1,0,0})
/E$6
/24,
"")</f>
        <v/>
      </c>
    </row>
    <row r="12" spans="3:11" x14ac:dyDescent="0.25">
      <c r="H12" s="70" t="str" cm="1">
        <f t="array" aca="1" ref="H12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2" s="25" t="str" cm="1">
        <f t="array" aca="1" ref="I12" ca="1">IF(
AND(NOT(ISBLANK(H12)),
NOT(ISERROR(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/24))),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/24,
"")</f>
        <v/>
      </c>
      <c r="J12" s="25" t="str" cm="1">
        <f t="array" aca="1" ref="J12" ca="1">IF(AND(
NOT(ISBLANK(H12)),
NOT(ISERROR(_xlfn._xlws.FILTER(_xlfn._xlws.FILTER(Courses!$B$2:$N$46, IF(NOT(ISERROR(SEARCH(H12, Courses!$B$2:$B$46, 1))), TRUE, FALSE)), {0,0,0,0,0,0,0,0,0,0,1,0,0})
/E$6
/24))),
_xlfn._xlws.FILTER(_xlfn._xlws.FILTER(Courses!$B$2:$N$46, IF(NOT(ISERROR(SEARCH(H12, Courses!$B$2:$B$46, 1))), TRUE, FALSE)), {0,0,0,0,0,0,0,0,0,0,1,0,0})
/E$6
/24,
"")</f>
        <v/>
      </c>
    </row>
    <row r="13" spans="3:11" x14ac:dyDescent="0.25">
      <c r="H13" s="70" t="str" cm="1">
        <f t="array" aca="1" ref="H13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3" s="25" t="str" cm="1">
        <f t="array" aca="1" ref="I13" ca="1">IF(
AND(NOT(ISBLANK(H13)),
NOT(ISERROR(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/24))),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/24,
"")</f>
        <v/>
      </c>
      <c r="J13" s="25" t="str" cm="1">
        <f t="array" aca="1" ref="J13" ca="1">IF(AND(
NOT(ISBLANK(H13)),
NOT(ISERROR(_xlfn._xlws.FILTER(_xlfn._xlws.FILTER(Courses!$B$2:$N$46, IF(NOT(ISERROR(SEARCH(H13, Courses!$B$2:$B$46, 1))), TRUE, FALSE)), {0,0,0,0,0,0,0,0,0,0,1,0,0})
/E$6
/24))),
_xlfn._xlws.FILTER(_xlfn._xlws.FILTER(Courses!$B$2:$N$46, IF(NOT(ISERROR(SEARCH(H13, Courses!$B$2:$B$46, 1))), TRUE, FALSE)), {0,0,0,0,0,0,0,0,0,0,1,0,0})
/E$6
/24,
"")</f>
        <v/>
      </c>
    </row>
    <row r="14" spans="3:11" x14ac:dyDescent="0.25">
      <c r="H14" s="70" t="str" cm="1">
        <f t="array" aca="1" ref="H14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4" s="25" t="str" cm="1">
        <f t="array" aca="1" ref="I14" ca="1">IF(
AND(NOT(ISBLANK(H14)),
NOT(ISERROR(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/24))),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/24,
"")</f>
        <v/>
      </c>
      <c r="J14" s="25" t="str" cm="1">
        <f t="array" aca="1" ref="J14" ca="1">IF(AND(
NOT(ISBLANK(H14)),
NOT(ISERROR(_xlfn._xlws.FILTER(_xlfn._xlws.FILTER(Courses!$B$2:$N$46, IF(NOT(ISERROR(SEARCH(H14, Courses!$B$2:$B$46, 1))), TRUE, FALSE)), {0,0,0,0,0,0,0,0,0,0,1,0,0})
/E$6
/24))),
_xlfn._xlws.FILTER(_xlfn._xlws.FILTER(Courses!$B$2:$N$46, IF(NOT(ISERROR(SEARCH(H14, Courses!$B$2:$B$46, 1))), TRUE, FALSE)), {0,0,0,0,0,0,0,0,0,0,1,0,0})
/E$6
/24,
"")</f>
        <v/>
      </c>
    </row>
    <row r="15" spans="3:11" x14ac:dyDescent="0.25">
      <c r="H15" s="70" t="str" cm="1">
        <f t="array" aca="1" ref="H1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5" s="25" t="str" cm="1">
        <f t="array" aca="1" ref="I15" ca="1">IF(
AND(NOT(ISBLANK(H15)),
NOT(ISERROR(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/24))),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/24,
"")</f>
        <v/>
      </c>
      <c r="J15" s="25" t="str" cm="1">
        <f t="array" aca="1" ref="J15" ca="1">IF(AND(
NOT(ISBLANK(H15)),
NOT(ISERROR(_xlfn._xlws.FILTER(_xlfn._xlws.FILTER(Courses!$B$2:$N$46, IF(NOT(ISERROR(SEARCH(H15, Courses!$B$2:$B$46, 1))), TRUE, FALSE)), {0,0,0,0,0,0,0,0,0,0,1,0,0})
/E$6
/24))),
_xlfn._xlws.FILTER(_xlfn._xlws.FILTER(Courses!$B$2:$N$46, IF(NOT(ISERROR(SEARCH(H15, Courses!$B$2:$B$46, 1))), TRUE, FALSE)), {0,0,0,0,0,0,0,0,0,0,1,0,0})
/E$6
/24,
"")</f>
        <v/>
      </c>
    </row>
    <row r="16" spans="3:11" x14ac:dyDescent="0.25">
      <c r="H16" s="70" t="str" cm="1">
        <f t="array" aca="1" ref="H1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6" s="25" t="str" cm="1">
        <f t="array" aca="1" ref="I16" ca="1">IF(
AND(NOT(ISBLANK(H16)),
NOT(ISERROR(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/24))),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/24,
"")</f>
        <v/>
      </c>
      <c r="J16" s="25" t="str" cm="1">
        <f t="array" aca="1" ref="J16" ca="1">IF(AND(
NOT(ISBLANK(H16)),
NOT(ISERROR(_xlfn._xlws.FILTER(_xlfn._xlws.FILTER(Courses!$B$2:$N$46, IF(NOT(ISERROR(SEARCH(H16, Courses!$B$2:$B$46, 1))), TRUE, FALSE)), {0,0,0,0,0,0,0,0,0,0,1,0,0})
/E$6
/24))),
_xlfn._xlws.FILTER(_xlfn._xlws.FILTER(Courses!$B$2:$N$46, IF(NOT(ISERROR(SEARCH(H16, Courses!$B$2:$B$46, 1))), TRUE, FALSE)), {0,0,0,0,0,0,0,0,0,0,1,0,0})
/E$6
/24,
"")</f>
        <v/>
      </c>
    </row>
    <row r="17" spans="8:10" x14ac:dyDescent="0.25">
      <c r="H17" s="70" t="str" cm="1">
        <f t="array" aca="1" ref="H1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7" s="25" t="str" cm="1">
        <f t="array" aca="1" ref="I17" ca="1">IF(
AND(NOT(ISBLANK(H17)),
NOT(ISERROR(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/24))),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/24,
"")</f>
        <v/>
      </c>
      <c r="J17" s="25" t="str" cm="1">
        <f t="array" aca="1" ref="J17" ca="1">IF(AND(
NOT(ISBLANK(H17)),
NOT(ISERROR(_xlfn._xlws.FILTER(_xlfn._xlws.FILTER(Courses!$B$2:$N$46, IF(NOT(ISERROR(SEARCH(H17, Courses!$B$2:$B$46, 1))), TRUE, FALSE)), {0,0,0,0,0,0,0,0,0,0,1,0,0})
/E$6
/24))),
_xlfn._xlws.FILTER(_xlfn._xlws.FILTER(Courses!$B$2:$N$46, IF(NOT(ISERROR(SEARCH(H17, Courses!$B$2:$B$46, 1))), TRUE, FALSE)), {0,0,0,0,0,0,0,0,0,0,1,0,0})
/E$6
/24,
"")</f>
        <v/>
      </c>
    </row>
    <row r="18" spans="8:10" x14ac:dyDescent="0.25">
      <c r="H18" s="70" t="str" cm="1">
        <f t="array" aca="1" ref="H1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8" s="25" t="str" cm="1">
        <f t="array" aca="1" ref="I18" ca="1">IF(
AND(NOT(ISBLANK(H18)),
NOT(ISERROR(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/24))),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/24,
"")</f>
        <v/>
      </c>
      <c r="J18" s="25" t="str" cm="1">
        <f t="array" aca="1" ref="J18" ca="1">IF(AND(
NOT(ISBLANK(H18)),
NOT(ISERROR(_xlfn._xlws.FILTER(_xlfn._xlws.FILTER(Courses!$B$2:$N$46, IF(NOT(ISERROR(SEARCH(H18, Courses!$B$2:$B$46, 1))), TRUE, FALSE)), {0,0,0,0,0,0,0,0,0,0,1,0,0})
/E$6
/24))),
_xlfn._xlws.FILTER(_xlfn._xlws.FILTER(Courses!$B$2:$N$46, IF(NOT(ISERROR(SEARCH(H18, Courses!$B$2:$B$46, 1))), TRUE, FALSE)), {0,0,0,0,0,0,0,0,0,0,1,0,0})
/E$6
/24,
"")</f>
        <v/>
      </c>
    </row>
    <row r="19" spans="8:10" x14ac:dyDescent="0.25">
      <c r="H19" s="70" t="str" cm="1">
        <f t="array" aca="1" ref="H1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9" s="25" t="str" cm="1">
        <f t="array" aca="1" ref="I19" ca="1">IF(
AND(NOT(ISBLANK(H19)),
NOT(ISERROR(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/24))),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/24,
"")</f>
        <v/>
      </c>
      <c r="J19" s="25" t="str" cm="1">
        <f t="array" aca="1" ref="J19" ca="1">IF(AND(
NOT(ISBLANK(H19)),
NOT(ISERROR(_xlfn._xlws.FILTER(_xlfn._xlws.FILTER(Courses!$B$2:$N$46, IF(NOT(ISERROR(SEARCH(H19, Courses!$B$2:$B$46, 1))), TRUE, FALSE)), {0,0,0,0,0,0,0,0,0,0,1,0,0})
/E$6
/24))),
_xlfn._xlws.FILTER(_xlfn._xlws.FILTER(Courses!$B$2:$N$46, IF(NOT(ISERROR(SEARCH(H19, Courses!$B$2:$B$46, 1))), TRUE, FALSE)), {0,0,0,0,0,0,0,0,0,0,1,0,0})
/E$6
/24,
"")</f>
        <v/>
      </c>
    </row>
    <row r="20" spans="8:10" x14ac:dyDescent="0.25">
      <c r="H20" s="15"/>
      <c r="I20" s="25"/>
      <c r="J20" s="25"/>
    </row>
    <row r="21" spans="8:10" x14ac:dyDescent="0.25">
      <c r="H21" s="15"/>
      <c r="I21" s="25"/>
      <c r="J21" s="25"/>
    </row>
    <row r="22" spans="8:10" x14ac:dyDescent="0.25">
      <c r="H22" s="15"/>
      <c r="I22" s="25"/>
      <c r="J22" s="25"/>
    </row>
    <row r="23" spans="8:10" x14ac:dyDescent="0.25">
      <c r="H23" s="15"/>
      <c r="I23" s="25"/>
      <c r="J23" s="25"/>
    </row>
    <row r="24" spans="8:10" x14ac:dyDescent="0.25">
      <c r="H24" s="15"/>
      <c r="I24" s="25"/>
      <c r="J24" s="25"/>
    </row>
    <row r="25" spans="8:10" x14ac:dyDescent="0.25">
      <c r="H25" s="15"/>
      <c r="I25" s="25"/>
      <c r="J25" s="25"/>
    </row>
    <row r="26" spans="8:10" x14ac:dyDescent="0.25">
      <c r="H26" s="15"/>
      <c r="I26" s="25"/>
      <c r="J26" s="25"/>
    </row>
    <row r="27" spans="8:10" x14ac:dyDescent="0.25">
      <c r="H27" s="15"/>
      <c r="I27" s="25"/>
      <c r="J27" s="25"/>
    </row>
    <row r="28" spans="8:10" x14ac:dyDescent="0.25">
      <c r="H28" s="15"/>
      <c r="I28" s="25"/>
      <c r="J28" s="25"/>
    </row>
    <row r="29" spans="8:10" x14ac:dyDescent="0.25">
      <c r="H29" s="15"/>
      <c r="I29" s="25"/>
      <c r="J29" s="25"/>
    </row>
    <row r="30" spans="8:10" x14ac:dyDescent="0.25">
      <c r="H30" s="15"/>
      <c r="I30" s="25"/>
      <c r="J30" s="25"/>
    </row>
    <row r="31" spans="8:10" x14ac:dyDescent="0.25">
      <c r="H31" s="15"/>
      <c r="I31" s="25"/>
      <c r="J31" s="25"/>
    </row>
    <row r="32" spans="8:10" x14ac:dyDescent="0.25">
      <c r="H32" s="15"/>
      <c r="I32" s="25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32" priority="19">
      <formula>$C$4=1</formula>
    </cfRule>
  </conditionalFormatting>
  <conditionalFormatting sqref="C8 C4:D7">
    <cfRule type="expression" dxfId="31" priority="1">
      <formula>$C$4=5</formula>
    </cfRule>
    <cfRule type="expression" dxfId="30" priority="16">
      <formula>$C$4=4</formula>
    </cfRule>
  </conditionalFormatting>
  <conditionalFormatting sqref="C8 C4:D7">
    <cfRule type="expression" dxfId="29" priority="17">
      <formula>$C$4=3</formula>
    </cfRule>
  </conditionalFormatting>
  <conditionalFormatting sqref="C8 C4:D7">
    <cfRule type="expression" dxfId="28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55"/>
  <sheetViews>
    <sheetView zoomScale="85" zoomScaleNormal="85" workbookViewId="0">
      <selection activeCell="C13" sqref="C13"/>
    </sheetView>
  </sheetViews>
  <sheetFormatPr defaultRowHeight="14.3" x14ac:dyDescent="0.25"/>
  <cols>
    <col min="1" max="1" width="3" style="41" customWidth="1"/>
    <col min="2" max="2" width="63.75" style="41" customWidth="1"/>
    <col min="3" max="3" width="14.75" style="42" customWidth="1"/>
    <col min="4" max="4" width="10.125" style="42" customWidth="1"/>
    <col min="5" max="6" width="18.125" style="42" customWidth="1"/>
    <col min="7" max="7" width="17.625" style="41" customWidth="1"/>
    <col min="8" max="8" width="11.75" style="43" customWidth="1"/>
    <col min="9" max="9" width="8" style="41" customWidth="1"/>
    <col min="10" max="10" width="63.75" style="41" customWidth="1"/>
    <col min="11" max="11" width="14.75" style="42" customWidth="1"/>
    <col min="12" max="12" width="7.875" style="42" customWidth="1"/>
    <col min="13" max="14" width="18.125" style="42" customWidth="1"/>
    <col min="15" max="15" width="22" style="42" customWidth="1"/>
    <col min="16" max="16" width="11.75" style="43" customWidth="1"/>
    <col min="17" max="18" width="8.875" style="41" customWidth="1"/>
    <col min="19" max="16384" width="9" style="41"/>
  </cols>
  <sheetData>
    <row r="1" spans="2:16" x14ac:dyDescent="0.25">
      <c r="E1" s="41"/>
      <c r="F1" s="41"/>
    </row>
    <row r="2" spans="2:16" ht="14.3" customHeight="1" x14ac:dyDescent="0.25">
      <c r="B2" s="44" t="s">
        <v>82</v>
      </c>
      <c r="C2" s="45">
        <f>IF(ISERROR(
SUMPRODUCT(
_xlfn._xlws.FILTER(Modules!C2:C28,Modules!F2:F28),
_xlfn._xlws.FILTER(Modules!D2:D28,Modules!F2:F28)
)/SUM(Modules!D2:D28)),
0,
SUMPRODUCT(
_xlfn._xlws.FILTER(Modules!C2:C28,Modules!F2:F28),
_xlfn._xlws.FILTER(Modules!D2:D28,Modules!F2:F28)
)/SUM(Modules!D2:D28))</f>
        <v>0.24861878453038674</v>
      </c>
      <c r="E2" s="82" t="s">
        <v>88</v>
      </c>
      <c r="F2" s="83"/>
      <c r="G2" s="79">
        <v>1</v>
      </c>
    </row>
    <row r="3" spans="2:16" ht="14.3" customHeight="1" x14ac:dyDescent="0.25">
      <c r="B3" s="46" t="s">
        <v>71</v>
      </c>
      <c r="C3" s="47" cm="1">
        <f t="array" ref="C3">SUMPRODUCT(
_xlfn._xlws.FILTER(_xlfn._xlws.FILTER(Modules!C2:D28, (Modules!C2:C28&gt;0)*(Modules!F2:F28)), {1,0}),
_xlfn._xlws.FILTER(_xlfn._xlws.FILTER(Modules!C2:D28, (Modules!C2:C28&gt;0)*(Modules!F2:F28)), {0,1})
)/SUM(_xlfn._xlws.FILTER(_xlfn._xlws.FILTER(Modules!C2:D28, (Modules!C2:C28&gt;0)*(Modules!F2:F28)), {0,1}))</f>
        <v>9</v>
      </c>
      <c r="E3" s="84"/>
      <c r="F3" s="85"/>
      <c r="G3" s="80"/>
    </row>
    <row r="4" spans="2:16" ht="14.3" customHeight="1" x14ac:dyDescent="0.25">
      <c r="B4" s="48" t="s">
        <v>86</v>
      </c>
      <c r="C4" s="49" cm="1">
        <f t="array" ref="C4">C2
+
SUM(_xlfn._xlws.FILTER(Modules!J2:J28,(NOT(Modules!F2:F28))))</f>
        <v>6.9889502762430924</v>
      </c>
      <c r="E4" s="84"/>
      <c r="F4" s="85"/>
      <c r="G4" s="80"/>
    </row>
    <row r="5" spans="2:16" ht="14.3" customHeight="1" x14ac:dyDescent="0.25">
      <c r="B5" s="46" t="s">
        <v>87</v>
      </c>
      <c r="C5" s="47" cm="1">
        <f t="array" ref="C5">C2
+
SUM(_xlfn._xlws.FILTER(Modules!H2:H28,(NOT(Modules!F2:F28))))</f>
        <v>8.9005524861878449</v>
      </c>
      <c r="E5" s="86"/>
      <c r="F5" s="87"/>
      <c r="G5" s="81"/>
    </row>
    <row r="6" spans="2:16" ht="14.3" customHeight="1" x14ac:dyDescent="0.25">
      <c r="B6" s="74" t="s">
        <v>100</v>
      </c>
      <c r="C6" s="75" cm="1">
        <f t="array" ref="C6">SUMPRODUCT(
_xlfn._xlws.FILTER(Modules!C2:C28,(NOT(Modules!E2:E28="Minor"))*(Modules!F2:F28)),
_xlfn._xlws.FILTER(Modules!D2:D28,(NOT(Modules!E2:E28="Minor"))*(Modules!F2:F28)))
/SUM(_xlfn._xlws.FILTER(Modules!D2:D28,(NOT(Modules!E2:E28="Minor"))))
+
SUM(_xlfn._xlws.FILTER(Modules!J2:J28,(NOT(Modules!E2:E28="Minor"))*NOT(Modules!F2:F28)))*180/150</f>
        <v>6.9941458417181961</v>
      </c>
      <c r="E6" s="88" t="s">
        <v>104</v>
      </c>
      <c r="F6" s="89"/>
      <c r="G6" s="92">
        <v>28</v>
      </c>
      <c r="I6" s="76"/>
    </row>
    <row r="7" spans="2:16" ht="14.3" customHeight="1" x14ac:dyDescent="0.25">
      <c r="B7" s="73" t="s">
        <v>101</v>
      </c>
      <c r="C7" s="50" cm="1">
        <f t="array" ref="C7">SUMPRODUCT(
_xlfn._xlws.FILTER(Modules!C2:C28,(NOT(Modules!E2:E28="Minor"))*(Modules!F2:F28)),
_xlfn._xlws.FILTER(Modules!D2:D28,(NOT(Modules!E2:E28="Minor"))*(Modules!F2:F28)))
/SUM(_xlfn._xlws.FILTER(Modules!D2:D28,(NOT(Modules!E2:E28="Minor"))))
+
SUM(_xlfn._xlws.FILTER(Modules!H2:H28,(NOT(Modules!E2:E28="Minor"))*NOT(Modules!F2:F28)))*180/150</f>
        <v>8.8902784384032785</v>
      </c>
      <c r="E7" s="90"/>
      <c r="F7" s="91"/>
      <c r="G7" s="93"/>
    </row>
    <row r="8" spans="2:16" ht="14.3" customHeight="1" x14ac:dyDescent="0.25">
      <c r="B8" s="51"/>
      <c r="C8" s="52"/>
      <c r="E8" s="32"/>
      <c r="F8" s="32"/>
      <c r="G8" s="31"/>
    </row>
    <row r="9" spans="2:16" ht="14.3" customHeight="1" x14ac:dyDescent="0.25"/>
    <row r="10" spans="2:16" x14ac:dyDescent="0.25">
      <c r="B10" s="77" t="s">
        <v>78</v>
      </c>
      <c r="C10" s="77"/>
      <c r="D10" s="77"/>
      <c r="E10" s="78"/>
      <c r="F10" s="78"/>
      <c r="G10" s="77"/>
      <c r="H10" s="77"/>
      <c r="I10" s="77"/>
      <c r="J10" s="77"/>
      <c r="K10" s="77"/>
      <c r="L10" s="77"/>
      <c r="M10" s="77"/>
      <c r="N10" s="77"/>
      <c r="O10" s="77"/>
      <c r="P10" s="77"/>
    </row>
    <row r="12" spans="2:16" x14ac:dyDescent="0.25">
      <c r="B12" s="53" t="s">
        <v>79</v>
      </c>
      <c r="C12" s="54" t="s">
        <v>75</v>
      </c>
      <c r="D12" s="54" t="s">
        <v>26</v>
      </c>
      <c r="E12" s="55" t="s">
        <v>89</v>
      </c>
      <c r="F12" s="54" t="s">
        <v>97</v>
      </c>
      <c r="G12" s="54" t="s">
        <v>85</v>
      </c>
      <c r="H12" s="54" t="s">
        <v>62</v>
      </c>
      <c r="I12" s="43"/>
      <c r="J12" s="61" t="s">
        <v>80</v>
      </c>
      <c r="K12" s="62" t="s">
        <v>75</v>
      </c>
      <c r="L12" s="62" t="s">
        <v>26</v>
      </c>
      <c r="M12" s="62" t="s">
        <v>89</v>
      </c>
      <c r="N12" s="62" t="s">
        <v>97</v>
      </c>
      <c r="O12" s="62" t="s">
        <v>85</v>
      </c>
      <c r="P12" s="62" t="s">
        <v>62</v>
      </c>
    </row>
    <row r="13" spans="2:16" x14ac:dyDescent="0.25">
      <c r="B13" s="41" t="str" cm="1">
        <f t="array" ref="B13:H17">IF(NOT(ISERROR(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
)),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*(IF(ISTEXT(Courses!M2:M46),G2=3,Courses!M2:M46&lt;=G2))),{1,0,1,1,0,0,0,1,0,1,1,1}),
"None")</f>
        <v>AE1110-I Introduction to Aerospace Engineering I</v>
      </c>
      <c r="C13" s="42">
        <v>0</v>
      </c>
      <c r="D13" s="42">
        <v>5</v>
      </c>
      <c r="E13" s="42">
        <v>9</v>
      </c>
      <c r="F13" s="42">
        <v>7</v>
      </c>
      <c r="G13" s="60">
        <v>98</v>
      </c>
      <c r="H13" s="59">
        <v>1</v>
      </c>
      <c r="J13" s="41" t="str" cm="1">
        <f t="array" ref="J13:P16">IF(NOT(ISERROR(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
)),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*(IF(ISTEXT(Courses!M2:M46),G2=3,Courses!M2:M46&lt;=G2))),{1,0,1,1,0,0,0,1,0,1,1,1}),
"None")</f>
        <v>AE1110-II Introduction to Aerospace Engineering II</v>
      </c>
      <c r="K13" s="42">
        <v>0</v>
      </c>
      <c r="L13" s="42">
        <v>4</v>
      </c>
      <c r="M13" s="42">
        <v>9</v>
      </c>
      <c r="N13" s="42">
        <v>7</v>
      </c>
      <c r="O13" s="60">
        <v>78.400000000000006</v>
      </c>
      <c r="P13" s="59">
        <v>1</v>
      </c>
    </row>
    <row r="14" spans="2:16" x14ac:dyDescent="0.25">
      <c r="B14" s="41" t="str">
        <v>AE1130-I Statics</v>
      </c>
      <c r="C14" s="42">
        <v>0</v>
      </c>
      <c r="D14" s="42">
        <v>4</v>
      </c>
      <c r="E14" s="42">
        <v>9</v>
      </c>
      <c r="F14" s="60">
        <v>7</v>
      </c>
      <c r="G14" s="42">
        <v>78.400000000000006</v>
      </c>
      <c r="H14" s="59">
        <v>1</v>
      </c>
      <c r="J14" s="41" t="str">
        <v>WI1421LR Calculus I-B</v>
      </c>
      <c r="K14" s="42">
        <v>0</v>
      </c>
      <c r="L14" s="42">
        <v>3</v>
      </c>
      <c r="M14" s="42">
        <v>9</v>
      </c>
      <c r="N14" s="42">
        <v>7</v>
      </c>
      <c r="O14" s="60">
        <v>58.8</v>
      </c>
      <c r="P14" s="59">
        <v>1</v>
      </c>
    </row>
    <row r="15" spans="2:16" x14ac:dyDescent="0.25">
      <c r="B15" s="41" t="str">
        <v>WI1421LR Calculus I-A</v>
      </c>
      <c r="C15" s="42">
        <v>0</v>
      </c>
      <c r="D15" s="42">
        <v>3</v>
      </c>
      <c r="E15" s="42">
        <v>9</v>
      </c>
      <c r="F15" s="60">
        <v>7</v>
      </c>
      <c r="G15" s="42">
        <v>58.8</v>
      </c>
      <c r="H15" s="59">
        <v>1</v>
      </c>
      <c r="J15" s="41" t="str">
        <v>AE1130-II Dynamics</v>
      </c>
      <c r="K15" s="42">
        <v>0</v>
      </c>
      <c r="L15" s="42">
        <v>3</v>
      </c>
      <c r="M15" s="42">
        <v>9</v>
      </c>
      <c r="N15" s="42">
        <v>7</v>
      </c>
      <c r="O15" s="60">
        <v>58.8</v>
      </c>
      <c r="P15" s="59">
        <v>1</v>
      </c>
    </row>
    <row r="16" spans="2:16" x14ac:dyDescent="0.25">
      <c r="B16" s="41" t="str">
        <v>AE1111-I Exploring Aerospace Engineering</v>
      </c>
      <c r="C16" s="42">
        <v>0</v>
      </c>
      <c r="D16" s="42">
        <v>3</v>
      </c>
      <c r="E16" s="42">
        <v>9</v>
      </c>
      <c r="F16" s="60">
        <v>7</v>
      </c>
      <c r="G16" s="42">
        <v>58.8</v>
      </c>
      <c r="H16" s="59">
        <v>1</v>
      </c>
      <c r="J16" s="41" t="str">
        <v>AE1108-I Aerospace Materials</v>
      </c>
      <c r="K16" s="42">
        <v>0</v>
      </c>
      <c r="L16" s="42">
        <v>3</v>
      </c>
      <c r="M16" s="42">
        <v>9</v>
      </c>
      <c r="N16" s="42">
        <v>7</v>
      </c>
      <c r="O16" s="60">
        <v>58.8</v>
      </c>
      <c r="P16" s="59">
        <v>1</v>
      </c>
    </row>
    <row r="17" spans="2:16" x14ac:dyDescent="0.25">
      <c r="B17" s="18" t="str">
        <v>AE1111-II Engineering Drawing</v>
      </c>
      <c r="C17" s="42">
        <v>0</v>
      </c>
      <c r="D17" s="42">
        <v>2</v>
      </c>
      <c r="E17" s="42">
        <v>9</v>
      </c>
      <c r="F17" s="42">
        <v>7</v>
      </c>
      <c r="G17" s="60">
        <v>39.200000000000003</v>
      </c>
      <c r="H17" s="59">
        <v>1</v>
      </c>
      <c r="J17" s="18"/>
      <c r="O17" s="60"/>
      <c r="P17" s="59"/>
    </row>
    <row r="18" spans="2:16" x14ac:dyDescent="0.25">
      <c r="B18" s="18"/>
      <c r="G18" s="60"/>
      <c r="H18" s="59"/>
      <c r="O18" s="60"/>
      <c r="P18" s="59"/>
    </row>
    <row r="19" spans="2:16" x14ac:dyDescent="0.25">
      <c r="B19" s="18"/>
      <c r="G19" s="60"/>
      <c r="H19" s="59"/>
      <c r="O19" s="60"/>
      <c r="P19" s="59"/>
    </row>
    <row r="20" spans="2:16" x14ac:dyDescent="0.25">
      <c r="B20" s="18"/>
      <c r="G20" s="60"/>
      <c r="H20" s="59"/>
      <c r="O20" s="60"/>
      <c r="P20" s="59"/>
    </row>
    <row r="21" spans="2:16" x14ac:dyDescent="0.25">
      <c r="B21" s="18"/>
      <c r="G21" s="60"/>
      <c r="H21" s="59"/>
      <c r="O21" s="60"/>
      <c r="P21" s="59"/>
    </row>
    <row r="22" spans="2:16" x14ac:dyDescent="0.25">
      <c r="B22" s="18"/>
      <c r="G22" s="60"/>
      <c r="H22" s="59"/>
      <c r="O22" s="60"/>
      <c r="P22" s="59"/>
    </row>
    <row r="23" spans="2:16" x14ac:dyDescent="0.25">
      <c r="B23" s="18"/>
      <c r="G23" s="60"/>
      <c r="H23" s="59"/>
      <c r="O23" s="60"/>
      <c r="P23" s="59"/>
    </row>
    <row r="24" spans="2:16" x14ac:dyDescent="0.25">
      <c r="B24" s="18"/>
      <c r="G24" s="60"/>
      <c r="H24" s="59"/>
      <c r="O24" s="60"/>
      <c r="P24" s="59"/>
    </row>
    <row r="25" spans="2:16" x14ac:dyDescent="0.25">
      <c r="B25" s="18"/>
      <c r="G25" s="60"/>
      <c r="H25" s="59"/>
      <c r="O25" s="60"/>
      <c r="P25" s="59"/>
    </row>
    <row r="26" spans="2:16" x14ac:dyDescent="0.25">
      <c r="B26" s="18"/>
      <c r="G26" s="60"/>
      <c r="H26" s="59"/>
      <c r="O26" s="60"/>
      <c r="P26" s="59"/>
    </row>
    <row r="27" spans="2:16" x14ac:dyDescent="0.25">
      <c r="B27" s="18"/>
      <c r="G27" s="60"/>
      <c r="H27" s="59"/>
      <c r="O27" s="60"/>
      <c r="P27" s="59"/>
    </row>
    <row r="28" spans="2:16" x14ac:dyDescent="0.25">
      <c r="G28" s="58"/>
      <c r="H28" s="59"/>
      <c r="O28" s="60"/>
      <c r="P28" s="59"/>
    </row>
    <row r="29" spans="2:16" x14ac:dyDescent="0.25">
      <c r="B29" s="56" t="s">
        <v>76</v>
      </c>
      <c r="C29" s="57" t="s">
        <v>75</v>
      </c>
      <c r="D29" s="57" t="s">
        <v>26</v>
      </c>
      <c r="E29" s="57" t="s">
        <v>89</v>
      </c>
      <c r="F29" s="57" t="s">
        <v>97</v>
      </c>
      <c r="G29" s="57" t="s">
        <v>85</v>
      </c>
      <c r="H29" s="57" t="s">
        <v>62</v>
      </c>
      <c r="I29" s="43"/>
      <c r="J29" s="63" t="s">
        <v>77</v>
      </c>
      <c r="K29" s="64" t="s">
        <v>75</v>
      </c>
      <c r="L29" s="64" t="s">
        <v>26</v>
      </c>
      <c r="M29" s="65" t="s">
        <v>89</v>
      </c>
      <c r="N29" s="64" t="s">
        <v>97</v>
      </c>
      <c r="O29" s="64" t="s">
        <v>85</v>
      </c>
      <c r="P29" s="64" t="s">
        <v>62</v>
      </c>
    </row>
    <row r="30" spans="2:16" x14ac:dyDescent="0.25">
      <c r="B30" s="41" t="str" cm="1">
        <f t="array" ref="B30:H32">IF(NOT(ISERROR(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
)),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*(IF(ISTEXT(Courses!M2:M46),G2=3,Courses!M2:M46&lt;=G2))),{1,0,1,1,0,0,0,1,0,1,1,1}),
"None")</f>
        <v>AE1108-II Aerospace Mechanics of Materials</v>
      </c>
      <c r="C30" s="42">
        <v>3</v>
      </c>
      <c r="D30" s="42">
        <v>3</v>
      </c>
      <c r="E30" s="42">
        <v>3</v>
      </c>
      <c r="F30" s="42">
        <v>3</v>
      </c>
      <c r="G30" s="60">
        <v>0</v>
      </c>
      <c r="H30" s="59">
        <v>1</v>
      </c>
      <c r="J30" s="18" t="str" cm="1">
        <f t="array" ref="J30:P32">IF(NOT(ISERROR(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
)),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*(IF(ISTEXT(Courses!M2:M46),G2=3,Courses!M2:M46&lt;=G2))),{1,0,1,1,0,0,0,1,0,1,1,1}),
"None")</f>
        <v>AE1240-II Waves and Electromagnetism</v>
      </c>
      <c r="K30" s="42">
        <v>3</v>
      </c>
      <c r="L30" s="42">
        <v>3</v>
      </c>
      <c r="M30" s="42">
        <v>9</v>
      </c>
      <c r="N30" s="42">
        <v>7</v>
      </c>
      <c r="O30" s="60">
        <v>58.8</v>
      </c>
      <c r="P30" s="59">
        <v>1</v>
      </c>
    </row>
    <row r="31" spans="2:16" x14ac:dyDescent="0.25">
      <c r="B31" s="41" t="str">
        <v>AE1222-II Aerospace Design and Systems Engineering Elements I</v>
      </c>
      <c r="C31" s="42">
        <v>0</v>
      </c>
      <c r="D31" s="42">
        <v>4</v>
      </c>
      <c r="E31" s="42">
        <v>9</v>
      </c>
      <c r="F31" s="60">
        <v>7</v>
      </c>
      <c r="G31" s="42">
        <v>78.400000000000006</v>
      </c>
      <c r="H31" s="59">
        <v>1</v>
      </c>
      <c r="J31" s="18" t="str">
        <v>AE1240-I Thermodynamics</v>
      </c>
      <c r="K31" s="42">
        <v>0</v>
      </c>
      <c r="L31" s="42">
        <v>3</v>
      </c>
      <c r="M31" s="42">
        <v>9</v>
      </c>
      <c r="N31" s="42">
        <v>7</v>
      </c>
      <c r="O31" s="60">
        <v>58.8</v>
      </c>
      <c r="P31" s="59">
        <v>1</v>
      </c>
    </row>
    <row r="32" spans="2:16" x14ac:dyDescent="0.25">
      <c r="B32" s="41" t="str">
        <v>AE1222-I Design &amp; Construction</v>
      </c>
      <c r="C32" s="42">
        <v>0</v>
      </c>
      <c r="D32" s="42">
        <v>5</v>
      </c>
      <c r="E32" s="42">
        <v>9</v>
      </c>
      <c r="F32" s="60">
        <v>7</v>
      </c>
      <c r="G32" s="42">
        <v>98</v>
      </c>
      <c r="H32" s="59">
        <v>1</v>
      </c>
      <c r="J32" s="18" t="str">
        <v>AE1205 Programming and Scientific Computing in Python for AE1</v>
      </c>
      <c r="K32" s="42">
        <v>0</v>
      </c>
      <c r="L32" s="42">
        <v>2</v>
      </c>
      <c r="M32" s="42">
        <v>9</v>
      </c>
      <c r="N32" s="42">
        <v>7</v>
      </c>
      <c r="O32" s="60">
        <v>39.200000000000003</v>
      </c>
      <c r="P32" s="59">
        <v>1</v>
      </c>
    </row>
    <row r="33" spans="2:16" x14ac:dyDescent="0.25">
      <c r="C33" s="60"/>
      <c r="G33" s="42"/>
      <c r="H33" s="59"/>
      <c r="J33" s="18"/>
      <c r="L33" s="60"/>
      <c r="M33" s="60"/>
      <c r="P33" s="59"/>
    </row>
    <row r="34" spans="2:16" x14ac:dyDescent="0.25">
      <c r="D34" s="60"/>
      <c r="E34" s="60"/>
      <c r="G34" s="42"/>
      <c r="H34" s="59"/>
      <c r="L34" s="60"/>
      <c r="M34" s="60"/>
      <c r="P34" s="59"/>
    </row>
    <row r="35" spans="2:16" x14ac:dyDescent="0.25">
      <c r="D35" s="60"/>
      <c r="E35" s="60"/>
      <c r="G35" s="42"/>
      <c r="H35" s="59"/>
      <c r="P35" s="59"/>
    </row>
    <row r="36" spans="2:16" x14ac:dyDescent="0.25">
      <c r="G36" s="42"/>
      <c r="H36" s="59"/>
      <c r="P36" s="59"/>
    </row>
    <row r="37" spans="2:16" x14ac:dyDescent="0.25">
      <c r="G37" s="42"/>
      <c r="H37" s="59"/>
      <c r="P37" s="59"/>
    </row>
    <row r="38" spans="2:16" x14ac:dyDescent="0.25">
      <c r="G38" s="42"/>
      <c r="H38" s="59"/>
      <c r="J38" s="18"/>
      <c r="P38" s="59"/>
    </row>
    <row r="39" spans="2:16" x14ac:dyDescent="0.25">
      <c r="G39" s="42"/>
      <c r="H39" s="59"/>
      <c r="J39" s="18"/>
      <c r="P39" s="59"/>
    </row>
    <row r="40" spans="2:16" x14ac:dyDescent="0.25">
      <c r="B40" s="18"/>
      <c r="G40" s="42"/>
      <c r="H40" s="59"/>
      <c r="P40" s="59"/>
    </row>
    <row r="41" spans="2:16" x14ac:dyDescent="0.25">
      <c r="H41" s="59"/>
      <c r="P41" s="59"/>
    </row>
    <row r="42" spans="2:16" x14ac:dyDescent="0.25">
      <c r="B42" s="67" t="s">
        <v>99</v>
      </c>
      <c r="C42" s="68" t="s">
        <v>75</v>
      </c>
      <c r="D42" s="68" t="s">
        <v>26</v>
      </c>
      <c r="E42" s="72" t="s">
        <v>89</v>
      </c>
      <c r="F42" s="68" t="s">
        <v>97</v>
      </c>
      <c r="G42" s="68" t="s">
        <v>85</v>
      </c>
      <c r="H42" s="68" t="s">
        <v>62</v>
      </c>
      <c r="P42" s="59"/>
    </row>
    <row r="43" spans="2:16" x14ac:dyDescent="0.25">
      <c r="B43" s="41" t="str" cm="1">
        <f t="array" ref="B43">IF(NOT(ISERROR(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
)),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*(IF(ISTEXT(Courses!M2:M46),G2=3,Courses!M2:M46&lt;=G2))),{1,0,1,1,0,0,0,1,0,1,1,1}),
"None")</f>
        <v>None</v>
      </c>
      <c r="G43" s="42"/>
    </row>
    <row r="44" spans="2:16" x14ac:dyDescent="0.25">
      <c r="G44" s="42"/>
    </row>
    <row r="45" spans="2:16" x14ac:dyDescent="0.25">
      <c r="G45" s="42"/>
    </row>
    <row r="46" spans="2:16" x14ac:dyDescent="0.25">
      <c r="G46" s="42"/>
    </row>
    <row r="47" spans="2:16" x14ac:dyDescent="0.25">
      <c r="C47" s="66"/>
      <c r="G47" s="42"/>
    </row>
    <row r="48" spans="2:16" x14ac:dyDescent="0.25">
      <c r="G48" s="42"/>
    </row>
    <row r="49" spans="7:7" x14ac:dyDescent="0.25">
      <c r="G49" s="42"/>
    </row>
    <row r="50" spans="7:7" x14ac:dyDescent="0.25">
      <c r="G50" s="42"/>
    </row>
    <row r="51" spans="7:7" x14ac:dyDescent="0.25">
      <c r="G51" s="42"/>
    </row>
    <row r="52" spans="7:7" x14ac:dyDescent="0.25">
      <c r="G52" s="42"/>
    </row>
    <row r="53" spans="7:7" x14ac:dyDescent="0.25">
      <c r="G53" s="42"/>
    </row>
    <row r="54" spans="7:7" x14ac:dyDescent="0.25">
      <c r="G54" s="42"/>
    </row>
    <row r="55" spans="7:7" x14ac:dyDescent="0.25">
      <c r="G55" s="42"/>
    </row>
  </sheetData>
  <mergeCells count="5">
    <mergeCell ref="B10:P10"/>
    <mergeCell ref="G2:G5"/>
    <mergeCell ref="E2:F5"/>
    <mergeCell ref="E6:F7"/>
    <mergeCell ref="G6:G7"/>
  </mergeCells>
  <conditionalFormatting sqref="F13:F28 F30:F41 N13:N28 N30:N41 F43:F54">
    <cfRule type="colorScale" priority="29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L3">
    <cfRule type="expression" dxfId="27" priority="14">
      <formula>L3="AE Year 1"</formula>
    </cfRule>
    <cfRule type="expression" dxfId="26" priority="15">
      <formula>L3="AE Year 2"</formula>
    </cfRule>
    <cfRule type="expression" dxfId="25" priority="16">
      <formula>L3="AE Year 3"</formula>
    </cfRule>
  </conditionalFormatting>
  <conditionalFormatting sqref="B13:B27 J13:J27 B30:B41 J30:J41 B43:B54">
    <cfRule type="expression" dxfId="24" priority="2">
      <formula>AND(C13&gt;0, C13&lt;5)</formula>
    </cfRule>
    <cfRule type="expression" dxfId="23" priority="3">
      <formula>AND(C13&gt;0, C13&gt;5)</formula>
    </cfRule>
  </conditionalFormatting>
  <conditionalFormatting sqref="E13:E28 E30:E41 M13:M28 M30:M41 E43:E55">
    <cfRule type="colorScale" priority="73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3:G27 G30:G41 O13:O27 O30:O41 G43:G54">
    <cfRule type="colorScale" priority="77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3:H27 H30:H41 P13:P27 P30:P41 H43:H54">
    <cfRule type="expression" dxfId="22" priority="4">
      <formula>H13="Minor"</formula>
    </cfRule>
    <cfRule type="expression" dxfId="21" priority="24">
      <formula>H13=1</formula>
    </cfRule>
    <cfRule type="expression" dxfId="20" priority="25">
      <formula>H13=2</formula>
    </cfRule>
    <cfRule type="expression" dxfId="19" priority="26">
      <formula>H13=3</formula>
    </cfRule>
  </conditionalFormatting>
  <conditionalFormatting sqref="C6:C7">
    <cfRule type="expression" dxfId="18" priority="1">
      <formula>$C6&gt;8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115" zoomScaleNormal="115" workbookViewId="0">
      <selection activeCell="D4" sqref="D4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6" customWidth="1"/>
    <col min="6" max="6" width="8.375" style="1" customWidth="1"/>
    <col min="7" max="7" width="16.875" style="1" customWidth="1"/>
    <col min="8" max="8" width="16.625" style="1" customWidth="1"/>
    <col min="9" max="9" width="15.5" style="1" customWidth="1"/>
    <col min="10" max="10" width="16.12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4" t="s">
        <v>25</v>
      </c>
      <c r="C1" s="4" t="s">
        <v>61</v>
      </c>
      <c r="D1" s="4" t="s">
        <v>26</v>
      </c>
      <c r="E1" s="35" t="s">
        <v>62</v>
      </c>
      <c r="F1" s="4" t="s">
        <v>83</v>
      </c>
      <c r="G1" s="4" t="s">
        <v>73</v>
      </c>
      <c r="H1" s="4" t="s">
        <v>102</v>
      </c>
      <c r="I1" s="4" t="s">
        <v>72</v>
      </c>
      <c r="J1" s="4" t="s">
        <v>103</v>
      </c>
    </row>
    <row r="2" spans="2:14" x14ac:dyDescent="0.25">
      <c r="B2" s="21" t="s">
        <v>12</v>
      </c>
      <c r="C2" s="19" cm="1">
        <f t="array" ref="C2">MROUND(
SUMPRODUCT(
_xlfn._xlws.FILTER(_xlfn._xlws.FILTER(Courses!$B$2:$E$46, IF(NOT(ISERROR(SEARCH(LEFT(B2,FIND(" ",B2)-1), Courses!$B$2:$B$46, 1))), TRUE, FALSE)), {0,0,1,0}),
_xlfn._xlws.FILTER(_xlfn._xlws.FILTER(Courses!$B$2:$E$46, IF(NOT(ISERROR(SEARCH(LEFT(B2,FIND(" ",B2)-1), Courses!$B$2:$B$46, 1))), TRUE, FALSE)), {0,0,0,1})
)
/SUM(_xlfn._xlws.FILTER(_xlfn._xlws.FILTER(Courses!$B$2:$E$46, IF(NOT(ISERROR(SEARCH(LEFT(B2,FIND(" ",B2)-1), Courses!$B$2:$B$46, 1))), TRUE, FALSE)), {0,0,0,1})),
0.5)</f>
        <v>0</v>
      </c>
      <c r="D2" s="1" cm="1">
        <f t="array" ref="D2">SUM(
_xlfn._xlws.FILTER(
_xlfn._xlws.FILTER(Courses!$B$2:$E$46, IF(NOT(ISERROR(SEARCH(LEFT(B2,FIND(" ",B2)-1), Courses!$B$2:$B$46, 1))), TRUE, FALSE)),
{0,0,0,1})
)</f>
        <v>6</v>
      </c>
      <c r="E2" s="34" cm="1">
        <f t="array" ref="E2">_xlfn.XLOOKUP(1, --ISNUMBER(SEARCH(LEFT(B2,FIND(" ",B2)-1), Courses!$B$2:$B$46)), Courses!$M$2:$M$46, "no match")</f>
        <v>1</v>
      </c>
      <c r="F2" s="1" t="b" cm="1">
        <f t="array" ref="F2">AND(AND(_xlfn._xlws.FILTER(_xlfn._xlws.FILTER(Courses!$B$2:$N$46,IF(NOT(ISERROR(SEARCH(LEFT(B2,FIND(" ",B2)-1),Courses!$B$2:$B$46,1))),TRUE,FALSE)),{0,0,0,0,0,0,0,0,0,0,0,0,1})), C2&gt;5.99)</f>
        <v>0</v>
      </c>
      <c r="G2" s="1" cm="1">
        <f t="array" ref="G2">MROUND(SUMPRODUCT(
_xlfn._xlws.FILTER(_xlfn._xlws.FILTER(Courses!$B$2:$M$46, IF(NOT(ISERROR(SEARCH(LEFT(B2,FIND(" ",B2)-1), Courses!$B$2:$B$46, 1))), TRUE, FALSE)), {0,0,0,0,0,0,0,1,0,0,0,0}),
_xlfn._xlws.FILTER(_xlfn._xlws.FILTER(Courses!$B$2:$M$46, IF(NOT(ISERROR(SEARCH(LEFT(B2,FIND(" ",B2)-1), Courses!$B$2:$B$46, 1))), TRUE, FALSE)), {0,0,0,1,0,0,0,0,0,0,0,0}))
/SUM(_xlfn._xlws.FILTER(_xlfn._xlws.FILTER(Courses!$B$2:$M$46, IF(NOT(ISERROR(SEARCH(LEFT(B2,FIND(" ",B2)-1), Courses!$B$2:$B$46, 1))), TRUE, FALSE)), {0,0,0,1,0,0,0,0,0,0,0,0})), 0.5)</f>
        <v>9</v>
      </c>
      <c r="H2" s="1">
        <f>G2*D2/SUM($D$2:$D$28)</f>
        <v>0.2983425414364641</v>
      </c>
      <c r="I2" s="1" cm="1">
        <f t="array" ref="I2">MROUND(SUMPRODUCT(
_xlfn._xlws.FILTER(_xlfn._xlws.FILTER(Courses!$B$2:$M$46, IF(NOT(ISERROR(SEARCH(LEFT(B2,FIND(" ",B2)-1), Courses!$B$2:$B$46, 1))), TRUE, FALSE)), {0,0,0,0,0,0,0,0,0,1,0,0}),
_xlfn._xlws.FILTER(_xlfn._xlws.FILTER(Courses!$B$2:$M$46, IF(NOT(ISERROR(SEARCH(LEFT(B2,FIND(" ",B2)-1), Courses!$B$2:$B$46, 1))), TRUE, FALSE)), {0,0,0,1,0,0,0,0,0,0,0,0}))
/SUM(_xlfn._xlws.FILTER(_xlfn._xlws.FILTER(Courses!$B$2:$M$46, IF(NOT(ISERROR(SEARCH(LEFT(B2,FIND(" ",B2)-1), Courses!$B$2:$B$46, 1))), TRUE, FALSE)), {0,0,0,1,0,0,0,0,0,0,0,0})), 0.5)</f>
        <v>7</v>
      </c>
      <c r="J2" s="1">
        <f>I2*D2/SUM($D$2:$D$28)</f>
        <v>0.23204419889502761</v>
      </c>
    </row>
    <row r="3" spans="2:14" x14ac:dyDescent="0.25">
      <c r="B3" s="1" t="s">
        <v>19</v>
      </c>
      <c r="C3" s="19" cm="1">
        <f t="array" ref="C3">MROUND(
SUMPRODUCT(
_xlfn._xlws.FILTER(_xlfn._xlws.FILTER(Courses!$B$2:$E$46, IF(NOT(ISERROR(SEARCH(LEFT(B3,FIND(" ",B3)-1), Courses!$B$2:$B$46, 1))), TRUE, FALSE)), {0,0,1,0}),
_xlfn._xlws.FILTER(_xlfn._xlws.FILTER(Courses!$B$2:$E$46, IF(NOT(ISERROR(SEARCH(LEFT(B3,FIND(" ",B3)-1), Courses!$B$2:$B$46, 1))), TRUE, FALSE)), {0,0,0,1})
)
/SUM(_xlfn._xlws.FILTER(_xlfn._xlws.FILTER(Courses!$B$2:$E$46, IF(NOT(ISERROR(SEARCH(LEFT(B3,FIND(" ",B3)-1), Courses!$B$2:$B$46, 1))), TRUE, FALSE)), {0,0,0,1})),
0.5)</f>
        <v>9</v>
      </c>
      <c r="D3" s="1" cm="1">
        <f t="array" ref="D3">SUM(
_xlfn._xlws.FILTER(
_xlfn._xlws.FILTER(Courses!$B$2:$E$46, IF(NOT(ISERROR(SEARCH(LEFT(B3,FIND(" ",B3)-1), Courses!$B$2:$B$46, 1))), TRUE, FALSE)),
{0,0,0,1})
)</f>
        <v>5</v>
      </c>
      <c r="E3" s="34" cm="1">
        <f t="array" ref="E3">_xlfn.XLOOKUP(1, --ISNUMBER(SEARCH(LEFT(B3,FIND(" ",B3)-1), Courses!$B$2:$B$46)), Courses!$M$2:$M$46, "no match")</f>
        <v>1</v>
      </c>
      <c r="F3" s="1" t="b" cm="1">
        <f t="array" ref="F3">AND(AND(_xlfn._xlws.FILTER(_xlfn._xlws.FILTER(Courses!$B$2:$N$46,IF(NOT(ISERROR(SEARCH(LEFT(B3,FIND(" ",B3)-1),Courses!$B$2:$B$46,1))),TRUE,FALSE)),{0,0,0,0,0,0,0,0,0,0,0,0,1})), C3&gt;5.99)</f>
        <v>1</v>
      </c>
      <c r="G3" s="1" cm="1">
        <f t="array" ref="G3">MROUND(SUMPRODUCT(
_xlfn._xlws.FILTER(_xlfn._xlws.FILTER(Courses!$B$2:$M$46, IF(NOT(ISERROR(SEARCH(LEFT(B3,FIND(" ",B3)-1), Courses!$B$2:$B$46, 1))), TRUE, FALSE)), {0,0,0,0,0,0,0,1,0,0,0,0}),
_xlfn._xlws.FILTER(_xlfn._xlws.FILTER(Courses!$B$2:$M$46, IF(NOT(ISERROR(SEARCH(LEFT(B3,FIND(" ",B3)-1), Courses!$B$2:$B$46, 1))), TRUE, FALSE)), {0,0,0,1,0,0,0,0,0,0,0,0}))
/SUM(_xlfn._xlws.FILTER(_xlfn._xlws.FILTER(Courses!$B$2:$M$46, IF(NOT(ISERROR(SEARCH(LEFT(B3,FIND(" ",B3)-1), Courses!$B$2:$B$46, 1))), TRUE, FALSE)), {0,0,0,1,0,0,0,0,0,0,0,0})), 0.5)</f>
        <v>9</v>
      </c>
      <c r="H3" s="1">
        <f t="shared" ref="H3:H28" si="0">G3*D3/SUM($D$2:$D$28)</f>
        <v>0.24861878453038674</v>
      </c>
      <c r="I3" s="1" cm="1">
        <f t="array" ref="I3">MROUND(SUMPRODUCT(
_xlfn._xlws.FILTER(_xlfn._xlws.FILTER(Courses!$B$2:$M$46, IF(NOT(ISERROR(SEARCH(LEFT(B3,FIND(" ",B3)-1), Courses!$B$2:$B$46, 1))), TRUE, FALSE)), {0,0,0,0,0,0,0,0,0,1,0,0}),
_xlfn._xlws.FILTER(_xlfn._xlws.FILTER(Courses!$B$2:$M$46, IF(NOT(ISERROR(SEARCH(LEFT(B3,FIND(" ",B3)-1), Courses!$B$2:$B$46, 1))), TRUE, FALSE)), {0,0,0,1,0,0,0,0,0,0,0,0}))
/SUM(_xlfn._xlws.FILTER(_xlfn._xlws.FILTER(Courses!$B$2:$M$46, IF(NOT(ISERROR(SEARCH(LEFT(B3,FIND(" ",B3)-1), Courses!$B$2:$B$46, 1))), TRUE, FALSE)), {0,0,0,1,0,0,0,0,0,0,0,0})), 0.5)</f>
        <v>9</v>
      </c>
      <c r="J3" s="1">
        <f t="shared" ref="J3:J28" si="1">I3*D3/SUM($D$2:$D$28)</f>
        <v>0.24861878453038674</v>
      </c>
    </row>
    <row r="4" spans="2:14" ht="16.3" x14ac:dyDescent="0.25">
      <c r="B4" s="21" t="s">
        <v>11</v>
      </c>
      <c r="C4" s="19" cm="1">
        <f t="array" ref="C4">MROUND(
SUMPRODUCT(
_xlfn._xlws.FILTER(_xlfn._xlws.FILTER(Courses!$B$2:$E$46, IF(NOT(ISERROR(SEARCH(LEFT(B4,FIND(" ",B4)-1), Courses!$B$2:$B$46, 1))), TRUE, FALSE)), {0,0,1,0}),
_xlfn._xlws.FILTER(_xlfn._xlws.FILTER(Courses!$B$2:$E$46, IF(NOT(ISERROR(SEARCH(LEFT(B4,FIND(" ",B4)-1), Courses!$B$2:$B$46, 1))), TRUE, FALSE)), {0,0,0,1})
)
/SUM(_xlfn._xlws.FILTER(_xlfn._xlws.FILTER(Courses!$B$2:$E$46, IF(NOT(ISERROR(SEARCH(LEFT(B4,FIND(" ",B4)-1), Courses!$B$2:$B$46, 1))), TRUE, FALSE)), {0,0,0,1})),
0.5)</f>
        <v>1.5</v>
      </c>
      <c r="D4" s="1" cm="1">
        <f t="array" ref="D4">SUM(
_xlfn._xlws.FILTER(
_xlfn._xlws.FILTER(Courses!$B$2:$E$46, IF(NOT(ISERROR(SEARCH(LEFT(B4,FIND(" ",B4)-1), Courses!$B$2:$B$46, 1))), TRUE, FALSE)),
{0,0,0,1})
)</f>
        <v>6</v>
      </c>
      <c r="E4" s="34" cm="1">
        <f t="array" ref="E4">_xlfn.XLOOKUP(1, --ISNUMBER(SEARCH(LEFT(B4,FIND(" ",B4)-1), Courses!$B$2:$B$46)), Courses!$M$2:$M$46, "no match")</f>
        <v>1</v>
      </c>
      <c r="F4" s="1" t="b" cm="1">
        <f t="array" ref="F4">AND(AND(_xlfn._xlws.FILTER(_xlfn._xlws.FILTER(Courses!$B$2:$N$46,IF(NOT(ISERROR(SEARCH(LEFT(B4,FIND(" ",B4)-1),Courses!$B$2:$B$46,1))),TRUE,FALSE)),{0,0,0,0,0,0,0,0,0,0,0,0,1})), C4&gt;5.99)</f>
        <v>0</v>
      </c>
      <c r="G4" s="1" cm="1">
        <f t="array" ref="G4">MROUND(SUMPRODUCT(
_xlfn._xlws.FILTER(_xlfn._xlws.FILTER(Courses!$B$2:$M$46, IF(NOT(ISERROR(SEARCH(LEFT(B4,FIND(" ",B4)-1), Courses!$B$2:$B$46, 1))), TRUE, FALSE)), {0,0,0,0,0,0,0,1,0,0,0,0}),
_xlfn._xlws.FILTER(_xlfn._xlws.FILTER(Courses!$B$2:$M$46, IF(NOT(ISERROR(SEARCH(LEFT(B4,FIND(" ",B4)-1), Courses!$B$2:$B$46, 1))), TRUE, FALSE)), {0,0,0,1,0,0,0,0,0,0,0,0}))
/SUM(_xlfn._xlws.FILTER(_xlfn._xlws.FILTER(Courses!$B$2:$M$46, IF(NOT(ISERROR(SEARCH(LEFT(B4,FIND(" ",B4)-1), Courses!$B$2:$B$46, 1))), TRUE, FALSE)), {0,0,0,1,0,0,0,0,0,0,0,0})), 0.5)</f>
        <v>9</v>
      </c>
      <c r="H4" s="1">
        <f t="shared" si="0"/>
        <v>0.2983425414364641</v>
      </c>
      <c r="I4" s="1" cm="1">
        <f t="array" ref="I4">MROUND(SUMPRODUCT(
_xlfn._xlws.FILTER(_xlfn._xlws.FILTER(Courses!$B$2:$M$46, IF(NOT(ISERROR(SEARCH(LEFT(B4,FIND(" ",B4)-1), Courses!$B$2:$B$46, 1))), TRUE, FALSE)), {0,0,0,0,0,0,0,0,0,1,0,0}),
_xlfn._xlws.FILTER(_xlfn._xlws.FILTER(Courses!$B$2:$M$46, IF(NOT(ISERROR(SEARCH(LEFT(B4,FIND(" ",B4)-1), Courses!$B$2:$B$46, 1))), TRUE, FALSE)), {0,0,0,1,0,0,0,0,0,0,0,0}))
/SUM(_xlfn._xlws.FILTER(_xlfn._xlws.FILTER(Courses!$B$2:$M$46, IF(NOT(ISERROR(SEARCH(LEFT(B4,FIND(" ",B4)-1), Courses!$B$2:$B$46, 1))), TRUE, FALSE)), {0,0,0,1,0,0,0,0,0,0,0,0})), 0.5)</f>
        <v>7</v>
      </c>
      <c r="J4" s="1">
        <f t="shared" si="1"/>
        <v>0.23204419889502761</v>
      </c>
      <c r="L4" s="20"/>
      <c r="N4" s="19"/>
    </row>
    <row r="5" spans="2:14" x14ac:dyDescent="0.25">
      <c r="B5" s="1" t="s">
        <v>18</v>
      </c>
      <c r="C5" s="19" cm="1">
        <f t="array" ref="C5">MROUND(
SUMPRODUCT(
_xlfn._xlws.FILTER(_xlfn._xlws.FILTER(Courses!$B$2:$E$46, IF(NOT(ISERROR(SEARCH(LEFT(B5,FIND(" ",B5)-1), Courses!$B$2:$B$46, 1))), TRUE, FALSE)), {0,0,1,0}),
_xlfn._xlws.FILTER(_xlfn._xlws.FILTER(Courses!$B$2:$E$46, IF(NOT(ISERROR(SEARCH(LEFT(B5,FIND(" ",B5)-1), Courses!$B$2:$B$46, 1))), TRUE, FALSE)), {0,0,0,1})
)
/SUM(_xlfn._xlws.FILTER(_xlfn._xlws.FILTER(Courses!$B$2:$E$46, IF(NOT(ISERROR(SEARCH(LEFT(B5,FIND(" ",B5)-1), Courses!$B$2:$B$46, 1))), TRUE, FALSE)), {0,0,0,1})),
0.5)</f>
        <v>1.5</v>
      </c>
      <c r="D5" s="1" cm="1">
        <f t="array" ref="D5">SUM(
_xlfn._xlws.FILTER(
_xlfn._xlws.FILTER(Courses!$B$2:$E$46, IF(NOT(ISERROR(SEARCH(LEFT(B5,FIND(" ",B5)-1), Courses!$B$2:$B$46, 1))), TRUE, FALSE)),
{0,0,0,1})
)</f>
        <v>6</v>
      </c>
      <c r="E5" s="34" cm="1">
        <f t="array" ref="E5">_xlfn.XLOOKUP(1, --ISNUMBER(SEARCH(LEFT(B5,FIND(" ",B5)-1), Courses!$B$2:$B$46)), Courses!$M$2:$M$46, "no match")</f>
        <v>1</v>
      </c>
      <c r="F5" s="1" t="b" cm="1">
        <f t="array" ref="F5">AND(AND(_xlfn._xlws.FILTER(_xlfn._xlws.FILTER(Courses!$B$2:$N$46,IF(NOT(ISERROR(SEARCH(LEFT(B5,FIND(" ",B5)-1),Courses!$B$2:$B$46,1))),TRUE,FALSE)),{0,0,0,0,0,0,0,0,0,0,0,0,1})), C5&gt;5.99)</f>
        <v>0</v>
      </c>
      <c r="G5" s="1" cm="1">
        <f t="array" ref="G5">MROUND(SUMPRODUCT(
_xlfn._xlws.FILTER(_xlfn._xlws.FILTER(Courses!$B$2:$M$46, IF(NOT(ISERROR(SEARCH(LEFT(B5,FIND(" ",B5)-1), Courses!$B$2:$B$46, 1))), TRUE, FALSE)), {0,0,0,0,0,0,0,1,0,0,0,0}),
_xlfn._xlws.FILTER(_xlfn._xlws.FILTER(Courses!$B$2:$M$46, IF(NOT(ISERROR(SEARCH(LEFT(B5,FIND(" ",B5)-1), Courses!$B$2:$B$46, 1))), TRUE, FALSE)), {0,0,0,1,0,0,0,0,0,0,0,0}))
/SUM(_xlfn._xlws.FILTER(_xlfn._xlws.FILTER(Courses!$B$2:$M$46, IF(NOT(ISERROR(SEARCH(LEFT(B5,FIND(" ",B5)-1), Courses!$B$2:$B$46, 1))), TRUE, FALSE)), {0,0,0,1,0,0,0,0,0,0,0,0})), 0.5)</f>
        <v>9</v>
      </c>
      <c r="H5" s="1">
        <f t="shared" si="0"/>
        <v>0.2983425414364641</v>
      </c>
      <c r="I5" s="1" cm="1">
        <f t="array" ref="I5">MROUND(SUMPRODUCT(
_xlfn._xlws.FILTER(_xlfn._xlws.FILTER(Courses!$B$2:$M$46, IF(NOT(ISERROR(SEARCH(LEFT(B5,FIND(" ",B5)-1), Courses!$B$2:$B$46, 1))), TRUE, FALSE)), {0,0,0,0,0,0,0,0,0,1,0,0}),
_xlfn._xlws.FILTER(_xlfn._xlws.FILTER(Courses!$B$2:$M$46, IF(NOT(ISERROR(SEARCH(LEFT(B5,FIND(" ",B5)-1), Courses!$B$2:$B$46, 1))), TRUE, FALSE)), {0,0,0,1,0,0,0,0,0,0,0,0}))
/SUM(_xlfn._xlws.FILTER(_xlfn._xlws.FILTER(Courses!$B$2:$M$46, IF(NOT(ISERROR(SEARCH(LEFT(B5,FIND(" ",B5)-1), Courses!$B$2:$B$46, 1))), TRUE, FALSE)), {0,0,0,1,0,0,0,0,0,0,0,0})), 0.5)</f>
        <v>7</v>
      </c>
      <c r="J5" s="1">
        <f t="shared" si="1"/>
        <v>0.23204419889502761</v>
      </c>
    </row>
    <row r="6" spans="2:14" x14ac:dyDescent="0.25">
      <c r="B6" s="21" t="s">
        <v>3</v>
      </c>
      <c r="C6" s="19" cm="1">
        <f t="array" ref="C6">MROUND(
SUMPRODUCT(
_xlfn._xlws.FILTER(_xlfn._xlws.FILTER(Courses!$B$2:$E$46, IF(NOT(ISERROR(SEARCH(LEFT(B6,FIND(" ",B6)-1), Courses!$B$2:$B$46, 1))), TRUE, FALSE)), {0,0,1,0}),
_xlfn._xlws.FILTER(_xlfn._xlws.FILTER(Courses!$B$2:$E$46, IF(NOT(ISERROR(SEARCH(LEFT(B6,FIND(" ",B6)-1), Courses!$B$2:$B$46, 1))), TRUE, FALSE)), {0,0,0,1})
)
/SUM(_xlfn._xlws.FILTER(_xlfn._xlws.FILTER(Courses!$B$2:$E$46, IF(NOT(ISERROR(SEARCH(LEFT(B6,FIND(" ",B6)-1), Courses!$B$2:$B$46, 1))), TRUE, FALSE)), {0,0,0,1})),
0.5)</f>
        <v>0</v>
      </c>
      <c r="D6" s="1" cm="1">
        <f t="array" ref="D6">SUM(
_xlfn._xlws.FILTER(
_xlfn._xlws.FILTER(Courses!$B$2:$E$46, IF(NOT(ISERROR(SEARCH(LEFT(B6,FIND(" ",B6)-1), Courses!$B$2:$B$46, 1))), TRUE, FALSE)),
{0,0,0,1})
)</f>
        <v>9</v>
      </c>
      <c r="E6" s="34" cm="1">
        <f t="array" ref="E6">_xlfn.XLOOKUP(1, --ISNUMBER(SEARCH(LEFT(B6,FIND(" ",B6)-1), Courses!$B$2:$B$46)), Courses!$M$2:$M$46, "no match")</f>
        <v>1</v>
      </c>
      <c r="F6" s="1" t="b" cm="1">
        <f t="array" ref="F6">AND(AND(_xlfn._xlws.FILTER(_xlfn._xlws.FILTER(Courses!$B$2:$N$46,IF(NOT(ISERROR(SEARCH(LEFT(B6,FIND(" ",B6)-1),Courses!$B$2:$B$46,1))),TRUE,FALSE)),{0,0,0,0,0,0,0,0,0,0,0,0,1})), C6&gt;5.99)</f>
        <v>0</v>
      </c>
      <c r="G6" s="1" cm="1">
        <f t="array" ref="G6">MROUND(SUMPRODUCT(
_xlfn._xlws.FILTER(_xlfn._xlws.FILTER(Courses!$B$2:$M$46, IF(NOT(ISERROR(SEARCH(LEFT(B6,FIND(" ",B6)-1), Courses!$B$2:$B$46, 1))), TRUE, FALSE)), {0,0,0,0,0,0,0,1,0,0,0,0}),
_xlfn._xlws.FILTER(_xlfn._xlws.FILTER(Courses!$B$2:$M$46, IF(NOT(ISERROR(SEARCH(LEFT(B6,FIND(" ",B6)-1), Courses!$B$2:$B$46, 1))), TRUE, FALSE)), {0,0,0,1,0,0,0,0,0,0,0,0}))
/SUM(_xlfn._xlws.FILTER(_xlfn._xlws.FILTER(Courses!$B$2:$M$46, IF(NOT(ISERROR(SEARCH(LEFT(B6,FIND(" ",B6)-1), Courses!$B$2:$B$46, 1))), TRUE, FALSE)), {0,0,0,1,0,0,0,0,0,0,0,0})), 0.5)</f>
        <v>9</v>
      </c>
      <c r="H6" s="1">
        <f t="shared" si="0"/>
        <v>0.44751381215469616</v>
      </c>
      <c r="I6" s="1" cm="1">
        <f t="array" ref="I6">MROUND(SUMPRODUCT(
_xlfn._xlws.FILTER(_xlfn._xlws.FILTER(Courses!$B$2:$M$46, IF(NOT(ISERROR(SEARCH(LEFT(B6,FIND(" ",B6)-1), Courses!$B$2:$B$46, 1))), TRUE, FALSE)), {0,0,0,0,0,0,0,0,0,1,0,0}),
_xlfn._xlws.FILTER(_xlfn._xlws.FILTER(Courses!$B$2:$M$46, IF(NOT(ISERROR(SEARCH(LEFT(B6,FIND(" ",B6)-1), Courses!$B$2:$B$46, 1))), TRUE, FALSE)), {0,0,0,1,0,0,0,0,0,0,0,0}))
/SUM(_xlfn._xlws.FILTER(_xlfn._xlws.FILTER(Courses!$B$2:$M$46, IF(NOT(ISERROR(SEARCH(LEFT(B6,FIND(" ",B6)-1), Courses!$B$2:$B$46, 1))), TRUE, FALSE)), {0,0,0,1,0,0,0,0,0,0,0,0})), 0.5)</f>
        <v>7</v>
      </c>
      <c r="J6" s="1">
        <f t="shared" si="1"/>
        <v>0.34806629834254144</v>
      </c>
    </row>
    <row r="7" spans="2:14" x14ac:dyDescent="0.25">
      <c r="B7" s="1" t="s">
        <v>23</v>
      </c>
      <c r="C7" s="19" cm="1">
        <f t="array" ref="C7">MROUND(
SUMPRODUCT(
_xlfn._xlws.FILTER(_xlfn._xlws.FILTER(Courses!$B$2:$E$46, IF(NOT(ISERROR(SEARCH(LEFT(B7,FIND(" ",B7)-1), Courses!$B$2:$B$46, 1))), TRUE, FALSE)), {0,0,1,0}),
_xlfn._xlws.FILTER(_xlfn._xlws.FILTER(Courses!$B$2:$E$46, IF(NOT(ISERROR(SEARCH(LEFT(B7,FIND(" ",B7)-1), Courses!$B$2:$B$46, 1))), TRUE, FALSE)), {0,0,0,1})
)
/SUM(_xlfn._xlws.FILTER(_xlfn._xlws.FILTER(Courses!$B$2:$E$46, IF(NOT(ISERROR(SEARCH(LEFT(B7,FIND(" ",B7)-1), Courses!$B$2:$B$46, 1))), TRUE, FALSE)), {0,0,0,1})),
0.5)</f>
        <v>0</v>
      </c>
      <c r="D7" s="1" cm="1">
        <f t="array" ref="D7">SUM(
_xlfn._xlws.FILTER(
_xlfn._xlws.FILTER(Courses!$B$2:$E$46, IF(NOT(ISERROR(SEARCH(LEFT(B7,FIND(" ",B7)-1), Courses!$B$2:$B$46, 1))), TRUE, FALSE)),
{0,0,0,1})
)</f>
        <v>2</v>
      </c>
      <c r="E7" s="34" cm="1">
        <f t="array" ref="E7">_xlfn.XLOOKUP(1, --ISNUMBER(SEARCH(LEFT(B7,FIND(" ",B7)-1), Courses!$B$2:$B$46)), Courses!$M$2:$M$46, "no match")</f>
        <v>1</v>
      </c>
      <c r="F7" s="1" t="b" cm="1">
        <f t="array" ref="F7">AND(AND(_xlfn._xlws.FILTER(_xlfn._xlws.FILTER(Courses!$B$2:$N$46,IF(NOT(ISERROR(SEARCH(LEFT(B7,FIND(" ",B7)-1),Courses!$B$2:$B$46,1))),TRUE,FALSE)),{0,0,0,0,0,0,0,0,0,0,0,0,1})), C7&gt;5.99)</f>
        <v>0</v>
      </c>
      <c r="G7" s="1" cm="1">
        <f t="array" ref="G7">MROUND(SUMPRODUCT(
_xlfn._xlws.FILTER(_xlfn._xlws.FILTER(Courses!$B$2:$M$46, IF(NOT(ISERROR(SEARCH(LEFT(B7,FIND(" ",B7)-1), Courses!$B$2:$B$46, 1))), TRUE, FALSE)), {0,0,0,0,0,0,0,1,0,0,0,0}),
_xlfn._xlws.FILTER(_xlfn._xlws.FILTER(Courses!$B$2:$M$46, IF(NOT(ISERROR(SEARCH(LEFT(B7,FIND(" ",B7)-1), Courses!$B$2:$B$46, 1))), TRUE, FALSE)), {0,0,0,1,0,0,0,0,0,0,0,0}))
/SUM(_xlfn._xlws.FILTER(_xlfn._xlws.FILTER(Courses!$B$2:$M$46, IF(NOT(ISERROR(SEARCH(LEFT(B7,FIND(" ",B7)-1), Courses!$B$2:$B$46, 1))), TRUE, FALSE)), {0,0,0,1,0,0,0,0,0,0,0,0})), 0.5)</f>
        <v>9</v>
      </c>
      <c r="H7" s="1">
        <f t="shared" si="0"/>
        <v>9.9447513812154692E-2</v>
      </c>
      <c r="I7" s="1" cm="1">
        <f t="array" ref="I7">MROUND(SUMPRODUCT(
_xlfn._xlws.FILTER(_xlfn._xlws.FILTER(Courses!$B$2:$M$46, IF(NOT(ISERROR(SEARCH(LEFT(B7,FIND(" ",B7)-1), Courses!$B$2:$B$46, 1))), TRUE, FALSE)), {0,0,0,0,0,0,0,0,0,1,0,0}),
_xlfn._xlws.FILTER(_xlfn._xlws.FILTER(Courses!$B$2:$M$46, IF(NOT(ISERROR(SEARCH(LEFT(B7,FIND(" ",B7)-1), Courses!$B$2:$B$46, 1))), TRUE, FALSE)), {0,0,0,1,0,0,0,0,0,0,0,0}))
/SUM(_xlfn._xlws.FILTER(_xlfn._xlws.FILTER(Courses!$B$2:$M$46, IF(NOT(ISERROR(SEARCH(LEFT(B7,FIND(" ",B7)-1), Courses!$B$2:$B$46, 1))), TRUE, FALSE)), {0,0,0,1,0,0,0,0,0,0,0,0})), 0.5)</f>
        <v>7</v>
      </c>
      <c r="J7" s="1">
        <f t="shared" si="1"/>
        <v>7.7348066298342538E-2</v>
      </c>
    </row>
    <row r="8" spans="2:14" x14ac:dyDescent="0.25">
      <c r="B8" s="21" t="s">
        <v>9</v>
      </c>
      <c r="C8" s="19" cm="1">
        <f t="array" ref="C8">MROUND(
SUMPRODUCT(
_xlfn._xlws.FILTER(_xlfn._xlws.FILTER(Courses!$B$2:$E$46, IF(NOT(ISERROR(SEARCH(LEFT(B8,FIND(" ",B8)-1), Courses!$B$2:$B$46, 1))), TRUE, FALSE)), {0,0,1,0}),
_xlfn._xlws.FILTER(_xlfn._xlws.FILTER(Courses!$B$2:$E$46, IF(NOT(ISERROR(SEARCH(LEFT(B8,FIND(" ",B8)-1), Courses!$B$2:$B$46, 1))), TRUE, FALSE)), {0,0,0,1})
)
/SUM(_xlfn._xlws.FILTER(_xlfn._xlws.FILTER(Courses!$B$2:$E$46, IF(NOT(ISERROR(SEARCH(LEFT(B8,FIND(" ",B8)-1), Courses!$B$2:$B$46, 1))), TRUE, FALSE)), {0,0,0,1})),
0.5)</f>
        <v>0</v>
      </c>
      <c r="D8" s="1" cm="1">
        <f t="array" ref="D8">SUM(
_xlfn._xlws.FILTER(
_xlfn._xlws.FILTER(Courses!$B$2:$E$46, IF(NOT(ISERROR(SEARCH(LEFT(B8,FIND(" ",B8)-1), Courses!$B$2:$B$46, 1))), TRUE, FALSE)),
{0,0,0,1})
)</f>
        <v>7</v>
      </c>
      <c r="E8" s="34" cm="1">
        <f t="array" ref="E8">_xlfn.XLOOKUP(1, --ISNUMBER(SEARCH(LEFT(B8,FIND(" ",B8)-1), Courses!$B$2:$B$46)), Courses!$M$2:$M$46, "no match")</f>
        <v>1</v>
      </c>
      <c r="F8" s="1" t="b" cm="1">
        <f t="array" ref="F8">AND(AND(_xlfn._xlws.FILTER(_xlfn._xlws.FILTER(Courses!$B$2:$N$46,IF(NOT(ISERROR(SEARCH(LEFT(B8,FIND(" ",B8)-1),Courses!$B$2:$B$46,1))),TRUE,FALSE)),{0,0,0,0,0,0,0,0,0,0,0,0,1})), C8&gt;5.99)</f>
        <v>0</v>
      </c>
      <c r="G8" s="1" cm="1">
        <f t="array" ref="G8">MROUND(SUMPRODUCT(
_xlfn._xlws.FILTER(_xlfn._xlws.FILTER(Courses!$B$2:$M$46, IF(NOT(ISERROR(SEARCH(LEFT(B8,FIND(" ",B8)-1), Courses!$B$2:$B$46, 1))), TRUE, FALSE)), {0,0,0,0,0,0,0,1,0,0,0,0}),
_xlfn._xlws.FILTER(_xlfn._xlws.FILTER(Courses!$B$2:$M$46, IF(NOT(ISERROR(SEARCH(LEFT(B8,FIND(" ",B8)-1), Courses!$B$2:$B$46, 1))), TRUE, FALSE)), {0,0,0,1,0,0,0,0,0,0,0,0}))
/SUM(_xlfn._xlws.FILTER(_xlfn._xlws.FILTER(Courses!$B$2:$M$46, IF(NOT(ISERROR(SEARCH(LEFT(B8,FIND(" ",B8)-1), Courses!$B$2:$B$46, 1))), TRUE, FALSE)), {0,0,0,1,0,0,0,0,0,0,0,0})), 0.5)</f>
        <v>9</v>
      </c>
      <c r="H8" s="1">
        <f t="shared" si="0"/>
        <v>0.34806629834254144</v>
      </c>
      <c r="I8" s="1" cm="1">
        <f t="array" ref="I8">MROUND(SUMPRODUCT(
_xlfn._xlws.FILTER(_xlfn._xlws.FILTER(Courses!$B$2:$M$46, IF(NOT(ISERROR(SEARCH(LEFT(B8,FIND(" ",B8)-1), Courses!$B$2:$B$46, 1))), TRUE, FALSE)), {0,0,0,0,0,0,0,0,0,1,0,0}),
_xlfn._xlws.FILTER(_xlfn._xlws.FILTER(Courses!$B$2:$M$46, IF(NOT(ISERROR(SEARCH(LEFT(B8,FIND(" ",B8)-1), Courses!$B$2:$B$46, 1))), TRUE, FALSE)), {0,0,0,1,0,0,0,0,0,0,0,0}))
/SUM(_xlfn._xlws.FILTER(_xlfn._xlws.FILTER(Courses!$B$2:$M$46, IF(NOT(ISERROR(SEARCH(LEFT(B8,FIND(" ",B8)-1), Courses!$B$2:$B$46, 1))), TRUE, FALSE)), {0,0,0,1,0,0,0,0,0,0,0,0})), 0.5)</f>
        <v>7</v>
      </c>
      <c r="J8" s="1">
        <f t="shared" si="1"/>
        <v>0.27071823204419887</v>
      </c>
    </row>
    <row r="9" spans="2:14" x14ac:dyDescent="0.25">
      <c r="B9" s="21" t="s">
        <v>17</v>
      </c>
      <c r="C9" s="19" cm="1">
        <f t="array" ref="C9">MROUND(
SUMPRODUCT(
_xlfn._xlws.FILTER(_xlfn._xlws.FILTER(Courses!$B$2:$E$46, IF(NOT(ISERROR(SEARCH(LEFT(B9,FIND(" ",B9)-1), Courses!$B$2:$B$46, 1))), TRUE, FALSE)), {0,0,1,0}),
_xlfn._xlws.FILTER(_xlfn._xlws.FILTER(Courses!$B$2:$E$46, IF(NOT(ISERROR(SEARCH(LEFT(B9,FIND(" ",B9)-1), Courses!$B$2:$B$46, 1))), TRUE, FALSE)), {0,0,0,1})
)
/SUM(_xlfn._xlws.FILTER(_xlfn._xlws.FILTER(Courses!$B$2:$E$46, IF(NOT(ISERROR(SEARCH(LEFT(B9,FIND(" ",B9)-1), Courses!$B$2:$B$46, 1))), TRUE, FALSE)), {0,0,0,1})),
0.5)</f>
        <v>0</v>
      </c>
      <c r="D9" s="1" cm="1">
        <f t="array" ref="D9">SUM(
_xlfn._xlws.FILTER(
_xlfn._xlws.FILTER(Courses!$B$2:$E$46, IF(NOT(ISERROR(SEARCH(LEFT(B9,FIND(" ",B9)-1), Courses!$B$2:$B$46, 1))), TRUE, FALSE)),
{0,0,0,1})
)</f>
        <v>5</v>
      </c>
      <c r="E9" s="34" cm="1">
        <f t="array" ref="E9">_xlfn.XLOOKUP(1, --ISNUMBER(SEARCH(LEFT(B9,FIND(" ",B9)-1), Courses!$B$2:$B$46)), Courses!$M$2:$M$46, "no match")</f>
        <v>1</v>
      </c>
      <c r="F9" s="1" t="b" cm="1">
        <f t="array" ref="F9">AND(AND(_xlfn._xlws.FILTER(_xlfn._xlws.FILTER(Courses!$B$2:$N$46,IF(NOT(ISERROR(SEARCH(LEFT(B9,FIND(" ",B9)-1),Courses!$B$2:$B$46,1))),TRUE,FALSE)),{0,0,0,0,0,0,0,0,0,0,0,0,1})), C9&gt;5.99)</f>
        <v>0</v>
      </c>
      <c r="G9" s="1" cm="1">
        <f t="array" ref="G9">MROUND(SUMPRODUCT(
_xlfn._xlws.FILTER(_xlfn._xlws.FILTER(Courses!$B$2:$M$46, IF(NOT(ISERROR(SEARCH(LEFT(B9,FIND(" ",B9)-1), Courses!$B$2:$B$46, 1))), TRUE, FALSE)), {0,0,0,0,0,0,0,1,0,0,0,0}),
_xlfn._xlws.FILTER(_xlfn._xlws.FILTER(Courses!$B$2:$M$46, IF(NOT(ISERROR(SEARCH(LEFT(B9,FIND(" ",B9)-1), Courses!$B$2:$B$46, 1))), TRUE, FALSE)), {0,0,0,1,0,0,0,0,0,0,0,0}))
/SUM(_xlfn._xlws.FILTER(_xlfn._xlws.FILTER(Courses!$B$2:$M$46, IF(NOT(ISERROR(SEARCH(LEFT(B9,FIND(" ",B9)-1), Courses!$B$2:$B$46, 1))), TRUE, FALSE)), {0,0,0,1,0,0,0,0,0,0,0,0})), 0.5)</f>
        <v>9</v>
      </c>
      <c r="H9" s="1">
        <f t="shared" si="0"/>
        <v>0.24861878453038674</v>
      </c>
      <c r="I9" s="1" cm="1">
        <f t="array" ref="I9">MROUND(SUMPRODUCT(
_xlfn._xlws.FILTER(_xlfn._xlws.FILTER(Courses!$B$2:$M$46, IF(NOT(ISERROR(SEARCH(LEFT(B9,FIND(" ",B9)-1), Courses!$B$2:$B$46, 1))), TRUE, FALSE)), {0,0,0,0,0,0,0,0,0,1,0,0}),
_xlfn._xlws.FILTER(_xlfn._xlws.FILTER(Courses!$B$2:$M$46, IF(NOT(ISERROR(SEARCH(LEFT(B9,FIND(" ",B9)-1), Courses!$B$2:$B$46, 1))), TRUE, FALSE)), {0,0,0,1,0,0,0,0,0,0,0,0}))
/SUM(_xlfn._xlws.FILTER(_xlfn._xlws.FILTER(Courses!$B$2:$M$46, IF(NOT(ISERROR(SEARCH(LEFT(B9,FIND(" ",B9)-1), Courses!$B$2:$B$46, 1))), TRUE, FALSE)), {0,0,0,1,0,0,0,0,0,0,0,0})), 0.5)</f>
        <v>7</v>
      </c>
      <c r="J9" s="1">
        <f t="shared" si="1"/>
        <v>0.19337016574585636</v>
      </c>
    </row>
    <row r="10" spans="2:14" x14ac:dyDescent="0.25">
      <c r="B10" s="21" t="s">
        <v>2</v>
      </c>
      <c r="C10" s="19" cm="1">
        <f t="array" ref="C10">MROUND(
SUMPRODUCT(
_xlfn._xlws.FILTER(_xlfn._xlws.FILTER(Courses!$B$2:$E$46, IF(NOT(ISERROR(SEARCH(LEFT(B10,FIND(" ",B10)-1), Courses!$B$2:$B$46, 1))), TRUE, FALSE)), {0,0,1,0}),
_xlfn._xlws.FILTER(_xlfn._xlws.FILTER(Courses!$B$2:$E$46, IF(NOT(ISERROR(SEARCH(LEFT(B10,FIND(" ",B10)-1), Courses!$B$2:$B$46, 1))), TRUE, FALSE)), {0,0,0,1})
)
/SUM(_xlfn._xlws.FILTER(_xlfn._xlws.FILTER(Courses!$B$2:$E$46, IF(NOT(ISERROR(SEARCH(LEFT(B10,FIND(" ",B10)-1), Courses!$B$2:$B$46, 1))), TRUE, FALSE)), {0,0,0,1})),
0.5)</f>
        <v>0</v>
      </c>
      <c r="D10" s="1" cm="1">
        <f t="array" ref="D10">SUM(
_xlfn._xlws.FILTER(
_xlfn._xlws.FILTER(Courses!$B$2:$E$46, IF(NOT(ISERROR(SEARCH(LEFT(B10,FIND(" ",B10)-1), Courses!$B$2:$B$46, 1))), TRUE, FALSE)),
{0,0,0,1})
)</f>
        <v>9</v>
      </c>
      <c r="E10" s="34" cm="1">
        <f t="array" ref="E10">_xlfn.XLOOKUP(1, --ISNUMBER(SEARCH(LEFT(B10,FIND(" ",B10)-1), Courses!$B$2:$B$46)), Courses!$M$2:$M$46, "no match")</f>
        <v>1</v>
      </c>
      <c r="F10" s="1" t="b" cm="1">
        <f t="array" ref="F10">AND(AND(_xlfn._xlws.FILTER(_xlfn._xlws.FILTER(Courses!$B$2:$N$46,IF(NOT(ISERROR(SEARCH(LEFT(B10,FIND(" ",B10)-1),Courses!$B$2:$B$46,1))),TRUE,FALSE)),{0,0,0,0,0,0,0,0,0,0,0,0,1})), C10&gt;5.99)</f>
        <v>0</v>
      </c>
      <c r="G10" s="1" cm="1">
        <f t="array" ref="G10">MROUND(SUMPRODUCT(
_xlfn._xlws.FILTER(_xlfn._xlws.FILTER(Courses!$B$2:$M$46, IF(NOT(ISERROR(SEARCH(LEFT(B10,FIND(" ",B10)-1), Courses!$B$2:$B$46, 1))), TRUE, FALSE)), {0,0,0,0,0,0,0,1,0,0,0,0}),
_xlfn._xlws.FILTER(_xlfn._xlws.FILTER(Courses!$B$2:$M$46, IF(NOT(ISERROR(SEARCH(LEFT(B10,FIND(" ",B10)-1), Courses!$B$2:$B$46, 1))), TRUE, FALSE)), {0,0,0,1,0,0,0,0,0,0,0,0}))
/SUM(_xlfn._xlws.FILTER(_xlfn._xlws.FILTER(Courses!$B$2:$M$46, IF(NOT(ISERROR(SEARCH(LEFT(B10,FIND(" ",B10)-1), Courses!$B$2:$B$46, 1))), TRUE, FALSE)), {0,0,0,1,0,0,0,0,0,0,0,0})), 0.5)</f>
        <v>9</v>
      </c>
      <c r="H10" s="1">
        <f t="shared" si="0"/>
        <v>0.44751381215469616</v>
      </c>
      <c r="I10" s="1" cm="1">
        <f t="array" ref="I10">MROUND(SUMPRODUCT(
_xlfn._xlws.FILTER(_xlfn._xlws.FILTER(Courses!$B$2:$M$46, IF(NOT(ISERROR(SEARCH(LEFT(B10,FIND(" ",B10)-1), Courses!$B$2:$B$46, 1))), TRUE, FALSE)), {0,0,0,0,0,0,0,0,0,1,0,0}),
_xlfn._xlws.FILTER(_xlfn._xlws.FILTER(Courses!$B$2:$M$46, IF(NOT(ISERROR(SEARCH(LEFT(B10,FIND(" ",B10)-1), Courses!$B$2:$B$46, 1))), TRUE, FALSE)), {0,0,0,1,0,0,0,0,0,0,0,0}))
/SUM(_xlfn._xlws.FILTER(_xlfn._xlws.FILTER(Courses!$B$2:$M$46, IF(NOT(ISERROR(SEARCH(LEFT(B10,FIND(" ",B10)-1), Courses!$B$2:$B$46, 1))), TRUE, FALSE)), {0,0,0,1,0,0,0,0,0,0,0,0})), 0.5)</f>
        <v>7</v>
      </c>
      <c r="J10" s="1">
        <f t="shared" si="1"/>
        <v>0.34806629834254144</v>
      </c>
    </row>
    <row r="11" spans="2:14" x14ac:dyDescent="0.25">
      <c r="B11" s="21" t="s">
        <v>13</v>
      </c>
      <c r="C11" s="19" cm="1">
        <f t="array" ref="C11">MROUND(
SUMPRODUCT(
_xlfn._xlws.FILTER(_xlfn._xlws.FILTER(Courses!$B$2:$E$46, IF(NOT(ISERROR(SEARCH(LEFT(B11,FIND(" ",B11)-1), Courses!$B$2:$B$46, 1))), TRUE, FALSE)), {0,0,1,0}),
_xlfn._xlws.FILTER(_xlfn._xlws.FILTER(Courses!$B$2:$E$46, IF(NOT(ISERROR(SEARCH(LEFT(B11,FIND(" ",B11)-1), Courses!$B$2:$B$46, 1))), TRUE, FALSE)), {0,0,0,1})
)
/SUM(_xlfn._xlws.FILTER(_xlfn._xlws.FILTER(Courses!$B$2:$E$46, IF(NOT(ISERROR(SEARCH(LEFT(B11,FIND(" ",B11)-1), Courses!$B$2:$B$46, 1))), TRUE, FALSE)), {0,0,0,1})),
0.5)</f>
        <v>1.5</v>
      </c>
      <c r="D11" s="1" cm="1">
        <f t="array" ref="D11">SUM(
_xlfn._xlws.FILTER(
_xlfn._xlws.FILTER(Courses!$B$2:$E$46, IF(NOT(ISERROR(SEARCH(LEFT(B11,FIND(" ",B11)-1), Courses!$B$2:$B$46, 1))), TRUE, FALSE)),
{0,0,0,1})
)</f>
        <v>6</v>
      </c>
      <c r="E11" s="34" cm="1">
        <f t="array" ref="E11">_xlfn.XLOOKUP(1, --ISNUMBER(SEARCH(LEFT(B11,FIND(" ",B11)-1), Courses!$B$2:$B$46)), Courses!$M$2:$M$46, "no match")</f>
        <v>1</v>
      </c>
      <c r="F11" s="1" t="b" cm="1">
        <f t="array" ref="F11">AND(AND(_xlfn._xlws.FILTER(_xlfn._xlws.FILTER(Courses!$B$2:$N$46,IF(NOT(ISERROR(SEARCH(LEFT(B11,FIND(" ",B11)-1),Courses!$B$2:$B$46,1))),TRUE,FALSE)),{0,0,0,0,0,0,0,0,0,0,0,0,1})), C11&gt;5.99)</f>
        <v>0</v>
      </c>
      <c r="G11" s="1" cm="1">
        <f t="array" ref="G11">MROUND(SUMPRODUCT(
_xlfn._xlws.FILTER(_xlfn._xlws.FILTER(Courses!$B$2:$M$46, IF(NOT(ISERROR(SEARCH(LEFT(B11,FIND(" ",B11)-1), Courses!$B$2:$B$46, 1))), TRUE, FALSE)), {0,0,0,0,0,0,0,1,0,0,0,0}),
_xlfn._xlws.FILTER(_xlfn._xlws.FILTER(Courses!$B$2:$M$46, IF(NOT(ISERROR(SEARCH(LEFT(B11,FIND(" ",B11)-1), Courses!$B$2:$B$46, 1))), TRUE, FALSE)), {0,0,0,1,0,0,0,0,0,0,0,0}))
/SUM(_xlfn._xlws.FILTER(_xlfn._xlws.FILTER(Courses!$B$2:$M$46, IF(NOT(ISERROR(SEARCH(LEFT(B11,FIND(" ",B11)-1), Courses!$B$2:$B$46, 1))), TRUE, FALSE)), {0,0,0,1,0,0,0,0,0,0,0,0})), 0.5)</f>
        <v>6</v>
      </c>
      <c r="H11" s="1">
        <f t="shared" si="0"/>
        <v>0.19889502762430938</v>
      </c>
      <c r="I11" s="1" cm="1">
        <f t="array" ref="I11">MROUND(SUMPRODUCT(
_xlfn._xlws.FILTER(_xlfn._xlws.FILTER(Courses!$B$2:$M$46, IF(NOT(ISERROR(SEARCH(LEFT(B11,FIND(" ",B11)-1), Courses!$B$2:$B$46, 1))), TRUE, FALSE)), {0,0,0,0,0,0,0,0,0,1,0,0}),
_xlfn._xlws.FILTER(_xlfn._xlws.FILTER(Courses!$B$2:$M$46, IF(NOT(ISERROR(SEARCH(LEFT(B11,FIND(" ",B11)-1), Courses!$B$2:$B$46, 1))), TRUE, FALSE)), {0,0,0,1,0,0,0,0,0,0,0,0}))
/SUM(_xlfn._xlws.FILTER(_xlfn._xlws.FILTER(Courses!$B$2:$M$46, IF(NOT(ISERROR(SEARCH(LEFT(B11,FIND(" ",B11)-1), Courses!$B$2:$B$46, 1))), TRUE, FALSE)), {0,0,0,1,0,0,0,0,0,0,0,0})), 0.5)</f>
        <v>5</v>
      </c>
      <c r="J11" s="1">
        <f t="shared" si="1"/>
        <v>0.16574585635359115</v>
      </c>
    </row>
    <row r="12" spans="2:14" x14ac:dyDescent="0.25">
      <c r="B12" s="21" t="s">
        <v>5</v>
      </c>
      <c r="C12" s="19" cm="1">
        <f t="array" ref="C12">MROUND(
SUMPRODUCT(
_xlfn._xlws.FILTER(_xlfn._xlws.FILTER(Courses!$B$2:$E$46, IF(NOT(ISERROR(SEARCH(LEFT(B12,FIND(" ",B12)-1), Courses!$B$2:$B$46, 1))), TRUE, FALSE)), {0,0,1,0}),
_xlfn._xlws.FILTER(_xlfn._xlws.FILTER(Courses!$B$2:$E$46, IF(NOT(ISERROR(SEARCH(LEFT(B12,FIND(" ",B12)-1), Courses!$B$2:$B$46, 1))), TRUE, FALSE)), {0,0,0,1})
)
/SUM(_xlfn._xlws.FILTER(_xlfn._xlws.FILTER(Courses!$B$2:$E$46, IF(NOT(ISERROR(SEARCH(LEFT(B12,FIND(" ",B12)-1), Courses!$B$2:$B$46, 1))), TRUE, FALSE)), {0,0,0,1})),
0.5)</f>
        <v>0</v>
      </c>
      <c r="D12" s="1" cm="1">
        <f t="array" ref="D12">SUM(
_xlfn._xlws.FILTER(
_xlfn._xlws.FILTER(Courses!$B$2:$E$46, IF(NOT(ISERROR(SEARCH(LEFT(B12,FIND(" ",B12)-1), Courses!$B$2:$B$46, 1))), TRUE, FALSE)),
{0,0,0,1})
)</f>
        <v>8</v>
      </c>
      <c r="E12" s="34" cm="1">
        <f t="array" ref="E12">_xlfn.XLOOKUP(1, --ISNUMBER(SEARCH(LEFT(B12,FIND(" ",B12)-1), Courses!$B$2:$B$46)), Courses!$M$2:$M$46, "no match")</f>
        <v>2</v>
      </c>
      <c r="F12" s="1" t="b" cm="1">
        <f t="array" ref="F12">AND(AND(_xlfn._xlws.FILTER(_xlfn._xlws.FILTER(Courses!$B$2:$N$46,IF(NOT(ISERROR(SEARCH(LEFT(B12,FIND(" ",B12)-1),Courses!$B$2:$B$46,1))),TRUE,FALSE)),{0,0,0,0,0,0,0,0,0,0,0,0,1})), C12&gt;5.99)</f>
        <v>0</v>
      </c>
      <c r="G12" s="1" cm="1">
        <f t="array" ref="G12">MROUND(SUMPRODUCT(
_xlfn._xlws.FILTER(_xlfn._xlws.FILTER(Courses!$B$2:$M$46, IF(NOT(ISERROR(SEARCH(LEFT(B12,FIND(" ",B12)-1), Courses!$B$2:$B$46, 1))), TRUE, FALSE)), {0,0,0,0,0,0,0,1,0,0,0,0}),
_xlfn._xlws.FILTER(_xlfn._xlws.FILTER(Courses!$B$2:$M$46, IF(NOT(ISERROR(SEARCH(LEFT(B12,FIND(" ",B12)-1), Courses!$B$2:$B$46, 1))), TRUE, FALSE)), {0,0,0,1,0,0,0,0,0,0,0,0}))
/SUM(_xlfn._xlws.FILTER(_xlfn._xlws.FILTER(Courses!$B$2:$M$46, IF(NOT(ISERROR(SEARCH(LEFT(B12,FIND(" ",B12)-1), Courses!$B$2:$B$46, 1))), TRUE, FALSE)), {0,0,0,1,0,0,0,0,0,0,0,0})), 0.5)</f>
        <v>9</v>
      </c>
      <c r="H12" s="1">
        <f t="shared" si="0"/>
        <v>0.39779005524861877</v>
      </c>
      <c r="I12" s="1" cm="1">
        <f t="array" ref="I12">MROUND(SUMPRODUCT(
_xlfn._xlws.FILTER(_xlfn._xlws.FILTER(Courses!$B$2:$M$46, IF(NOT(ISERROR(SEARCH(LEFT(B12,FIND(" ",B12)-1), Courses!$B$2:$B$46, 1))), TRUE, FALSE)), {0,0,0,0,0,0,0,0,0,1,0,0}),
_xlfn._xlws.FILTER(_xlfn._xlws.FILTER(Courses!$B$2:$M$46, IF(NOT(ISERROR(SEARCH(LEFT(B12,FIND(" ",B12)-1), Courses!$B$2:$B$46, 1))), TRUE, FALSE)), {0,0,0,1,0,0,0,0,0,0,0,0}))
/SUM(_xlfn._xlws.FILTER(_xlfn._xlws.FILTER(Courses!$B$2:$M$46, IF(NOT(ISERROR(SEARCH(LEFT(B12,FIND(" ",B12)-1), Courses!$B$2:$B$46, 1))), TRUE, FALSE)), {0,0,0,1,0,0,0,0,0,0,0,0})), 0.5)</f>
        <v>7</v>
      </c>
      <c r="J12" s="1">
        <f t="shared" si="1"/>
        <v>0.30939226519337015</v>
      </c>
    </row>
    <row r="13" spans="2:14" x14ac:dyDescent="0.25">
      <c r="B13" s="21" t="s">
        <v>10</v>
      </c>
      <c r="C13" s="19" cm="1">
        <f t="array" ref="C13">MROUND(
SUMPRODUCT(
_xlfn._xlws.FILTER(_xlfn._xlws.FILTER(Courses!$B$2:$E$46, IF(NOT(ISERROR(SEARCH(LEFT(B13,FIND(" ",B13)-1), Courses!$B$2:$B$46, 1))), TRUE, FALSE)), {0,0,1,0}),
_xlfn._xlws.FILTER(_xlfn._xlws.FILTER(Courses!$B$2:$E$46, IF(NOT(ISERROR(SEARCH(LEFT(B13,FIND(" ",B13)-1), Courses!$B$2:$B$46, 1))), TRUE, FALSE)), {0,0,0,1})
)
/SUM(_xlfn._xlws.FILTER(_xlfn._xlws.FILTER(Courses!$B$2:$E$46, IF(NOT(ISERROR(SEARCH(LEFT(B13,FIND(" ",B13)-1), Courses!$B$2:$B$46, 1))), TRUE, FALSE)), {0,0,0,1})),
0.5)</f>
        <v>0</v>
      </c>
      <c r="D13" s="1" cm="1">
        <f t="array" ref="D13">SUM(
_xlfn._xlws.FILTER(
_xlfn._xlws.FILTER(Courses!$B$2:$E$46, IF(NOT(ISERROR(SEARCH(LEFT(B13,FIND(" ",B13)-1), Courses!$B$2:$B$46, 1))), TRUE, FALSE)),
{0,0,0,1})
)</f>
        <v>7</v>
      </c>
      <c r="E13" s="34" cm="1">
        <f t="array" ref="E13">_xlfn.XLOOKUP(1, --ISNUMBER(SEARCH(LEFT(B13,FIND(" ",B13)-1), Courses!$B$2:$B$46)), Courses!$M$2:$M$46, "no match")</f>
        <v>2</v>
      </c>
      <c r="F13" s="1" t="b" cm="1">
        <f t="array" ref="F13">AND(AND(_xlfn._xlws.FILTER(_xlfn._xlws.FILTER(Courses!$B$2:$N$46,IF(NOT(ISERROR(SEARCH(LEFT(B13,FIND(" ",B13)-1),Courses!$B$2:$B$46,1))),TRUE,FALSE)),{0,0,0,0,0,0,0,0,0,0,0,0,1})), C13&gt;5.99)</f>
        <v>0</v>
      </c>
      <c r="G13" s="1" cm="1">
        <f t="array" ref="G13">MROUND(SUMPRODUCT(
_xlfn._xlws.FILTER(_xlfn._xlws.FILTER(Courses!$B$2:$M$46, IF(NOT(ISERROR(SEARCH(LEFT(B13,FIND(" ",B13)-1), Courses!$B$2:$B$46, 1))), TRUE, FALSE)), {0,0,0,0,0,0,0,1,0,0,0,0}),
_xlfn._xlws.FILTER(_xlfn._xlws.FILTER(Courses!$B$2:$M$46, IF(NOT(ISERROR(SEARCH(LEFT(B13,FIND(" ",B13)-1), Courses!$B$2:$B$46, 1))), TRUE, FALSE)), {0,0,0,1,0,0,0,0,0,0,0,0}))
/SUM(_xlfn._xlws.FILTER(_xlfn._xlws.FILTER(Courses!$B$2:$M$46, IF(NOT(ISERROR(SEARCH(LEFT(B13,FIND(" ",B13)-1), Courses!$B$2:$B$46, 1))), TRUE, FALSE)), {0,0,0,1,0,0,0,0,0,0,0,0})), 0.5)</f>
        <v>9</v>
      </c>
      <c r="H13" s="1">
        <f t="shared" si="0"/>
        <v>0.34806629834254144</v>
      </c>
      <c r="I13" s="1" cm="1">
        <f t="array" ref="I13">MROUND(SUMPRODUCT(
_xlfn._xlws.FILTER(_xlfn._xlws.FILTER(Courses!$B$2:$M$46, IF(NOT(ISERROR(SEARCH(LEFT(B13,FIND(" ",B13)-1), Courses!$B$2:$B$46, 1))), TRUE, FALSE)), {0,0,0,0,0,0,0,0,0,1,0,0}),
_xlfn._xlws.FILTER(_xlfn._xlws.FILTER(Courses!$B$2:$M$46, IF(NOT(ISERROR(SEARCH(LEFT(B13,FIND(" ",B13)-1), Courses!$B$2:$B$46, 1))), TRUE, FALSE)), {0,0,0,1,0,0,0,0,0,0,0,0}))
/SUM(_xlfn._xlws.FILTER(_xlfn._xlws.FILTER(Courses!$B$2:$M$46, IF(NOT(ISERROR(SEARCH(LEFT(B13,FIND(" ",B13)-1), Courses!$B$2:$B$46, 1))), TRUE, FALSE)), {0,0,0,1,0,0,0,0,0,0,0,0})), 0.5)</f>
        <v>7</v>
      </c>
      <c r="J13" s="1">
        <f t="shared" si="1"/>
        <v>0.27071823204419887</v>
      </c>
    </row>
    <row r="14" spans="2:14" x14ac:dyDescent="0.25">
      <c r="B14" s="21" t="s">
        <v>7</v>
      </c>
      <c r="C14" s="19" cm="1">
        <f t="array" ref="C14">MROUND(
SUMPRODUCT(
_xlfn._xlws.FILTER(_xlfn._xlws.FILTER(Courses!$B$2:$E$46, IF(NOT(ISERROR(SEARCH(LEFT(B14,FIND(" ",B14)-1), Courses!$B$2:$B$46, 1))), TRUE, FALSE)), {0,0,1,0}),
_xlfn._xlws.FILTER(_xlfn._xlws.FILTER(Courses!$B$2:$E$46, IF(NOT(ISERROR(SEARCH(LEFT(B14,FIND(" ",B14)-1), Courses!$B$2:$B$46, 1))), TRUE, FALSE)), {0,0,0,1})
)
/SUM(_xlfn._xlws.FILTER(_xlfn._xlws.FILTER(Courses!$B$2:$E$46, IF(NOT(ISERROR(SEARCH(LEFT(B14,FIND(" ",B14)-1), Courses!$B$2:$B$46, 1))), TRUE, FALSE)), {0,0,0,1})),
0.5)</f>
        <v>0</v>
      </c>
      <c r="D14" s="1" cm="1">
        <f t="array" ref="D14">SUM(
_xlfn._xlws.FILTER(
_xlfn._xlws.FILTER(Courses!$B$2:$E$46, IF(NOT(ISERROR(SEARCH(LEFT(B14,FIND(" ",B14)-1), Courses!$B$2:$B$46, 1))), TRUE, FALSE)),
{0,0,0,1})
)</f>
        <v>8</v>
      </c>
      <c r="E14" s="34" cm="1">
        <f t="array" ref="E14">_xlfn.XLOOKUP(1, --ISNUMBER(SEARCH(LEFT(B14,FIND(" ",B14)-1), Courses!$B$2:$B$46)), Courses!$M$2:$M$46, "no match")</f>
        <v>2</v>
      </c>
      <c r="F14" s="1" t="b" cm="1">
        <f t="array" ref="F14">AND(AND(_xlfn._xlws.FILTER(_xlfn._xlws.FILTER(Courses!$B$2:$N$46,IF(NOT(ISERROR(SEARCH(LEFT(B14,FIND(" ",B14)-1),Courses!$B$2:$B$46,1))),TRUE,FALSE)),{0,0,0,0,0,0,0,0,0,0,0,0,1})), C14&gt;5.99)</f>
        <v>0</v>
      </c>
      <c r="G14" s="1" cm="1">
        <f t="array" ref="G14">MROUND(SUMPRODUCT(
_xlfn._xlws.FILTER(_xlfn._xlws.FILTER(Courses!$B$2:$M$46, IF(NOT(ISERROR(SEARCH(LEFT(B14,FIND(" ",B14)-1), Courses!$B$2:$B$46, 1))), TRUE, FALSE)), {0,0,0,0,0,0,0,1,0,0,0,0}),
_xlfn._xlws.FILTER(_xlfn._xlws.FILTER(Courses!$B$2:$M$46, IF(NOT(ISERROR(SEARCH(LEFT(B14,FIND(" ",B14)-1), Courses!$B$2:$B$46, 1))), TRUE, FALSE)), {0,0,0,1,0,0,0,0,0,0,0,0}))
/SUM(_xlfn._xlws.FILTER(_xlfn._xlws.FILTER(Courses!$B$2:$M$46, IF(NOT(ISERROR(SEARCH(LEFT(B14,FIND(" ",B14)-1), Courses!$B$2:$B$46, 1))), TRUE, FALSE)), {0,0,0,1,0,0,0,0,0,0,0,0})), 0.5)</f>
        <v>9</v>
      </c>
      <c r="H14" s="1">
        <f t="shared" si="0"/>
        <v>0.39779005524861877</v>
      </c>
      <c r="I14" s="1" cm="1">
        <f t="array" ref="I14">MROUND(SUMPRODUCT(
_xlfn._xlws.FILTER(_xlfn._xlws.FILTER(Courses!$B$2:$M$46, IF(NOT(ISERROR(SEARCH(LEFT(B14,FIND(" ",B14)-1), Courses!$B$2:$B$46, 1))), TRUE, FALSE)), {0,0,0,0,0,0,0,0,0,1,0,0}),
_xlfn._xlws.FILTER(_xlfn._xlws.FILTER(Courses!$B$2:$M$46, IF(NOT(ISERROR(SEARCH(LEFT(B14,FIND(" ",B14)-1), Courses!$B$2:$B$46, 1))), TRUE, FALSE)), {0,0,0,1,0,0,0,0,0,0,0,0}))
/SUM(_xlfn._xlws.FILTER(_xlfn._xlws.FILTER(Courses!$B$2:$M$46, IF(NOT(ISERROR(SEARCH(LEFT(B14,FIND(" ",B14)-1), Courses!$B$2:$B$46, 1))), TRUE, FALSE)), {0,0,0,1,0,0,0,0,0,0,0,0})), 0.5)</f>
        <v>7</v>
      </c>
      <c r="J14" s="1">
        <f t="shared" si="1"/>
        <v>0.30939226519337015</v>
      </c>
    </row>
    <row r="15" spans="2:14" x14ac:dyDescent="0.25">
      <c r="B15" s="21" t="s">
        <v>34</v>
      </c>
      <c r="C15" s="19" cm="1">
        <f t="array" ref="C15">MROUND(
SUMPRODUCT(
_xlfn._xlws.FILTER(_xlfn._xlws.FILTER(Courses!$B$2:$E$46, IF(NOT(ISERROR(SEARCH(LEFT(B15,FIND(" ",B15)-1), Courses!$B$2:$B$46, 1))), TRUE, FALSE)), {0,0,1,0}),
_xlfn._xlws.FILTER(_xlfn._xlws.FILTER(Courses!$B$2:$E$46, IF(NOT(ISERROR(SEARCH(LEFT(B15,FIND(" ",B15)-1), Courses!$B$2:$B$46, 1))), TRUE, FALSE)), {0,0,0,1})
)
/SUM(_xlfn._xlws.FILTER(_xlfn._xlws.FILTER(Courses!$B$2:$E$46, IF(NOT(ISERROR(SEARCH(LEFT(B15,FIND(" ",B15)-1), Courses!$B$2:$B$46, 1))), TRUE, FALSE)), {0,0,0,1})),
0.5)</f>
        <v>0</v>
      </c>
      <c r="D15" s="1" cm="1">
        <f t="array" ref="D15">SUM(
_xlfn._xlws.FILTER(
_xlfn._xlws.FILTER(Courses!$B$2:$E$46, IF(NOT(ISERROR(SEARCH(LEFT(B15,FIND(" ",B15)-1), Courses!$B$2:$B$46, 1))), TRUE, FALSE)),
{0,0,0,1})
)</f>
        <v>8</v>
      </c>
      <c r="E15" s="34" cm="1">
        <f t="array" ref="E15">_xlfn.XLOOKUP(1, --ISNUMBER(SEARCH(LEFT(B15,FIND(" ",B15)-1), Courses!$B$2:$B$46)), Courses!$M$2:$M$46, "no match")</f>
        <v>2</v>
      </c>
      <c r="F15" s="1" t="b" cm="1">
        <f t="array" ref="F15">AND(AND(_xlfn._xlws.FILTER(_xlfn._xlws.FILTER(Courses!$B$2:$N$46,IF(NOT(ISERROR(SEARCH(LEFT(B15,FIND(" ",B15)-1),Courses!$B$2:$B$46,1))),TRUE,FALSE)),{0,0,0,0,0,0,0,0,0,0,0,0,1})), C15&gt;5.99)</f>
        <v>0</v>
      </c>
      <c r="G15" s="1" cm="1">
        <f t="array" ref="G15">MROUND(SUMPRODUCT(
_xlfn._xlws.FILTER(_xlfn._xlws.FILTER(Courses!$B$2:$M$46, IF(NOT(ISERROR(SEARCH(LEFT(B15,FIND(" ",B15)-1), Courses!$B$2:$B$46, 1))), TRUE, FALSE)), {0,0,0,0,0,0,0,1,0,0,0,0}),
_xlfn._xlws.FILTER(_xlfn._xlws.FILTER(Courses!$B$2:$M$46, IF(NOT(ISERROR(SEARCH(LEFT(B15,FIND(" ",B15)-1), Courses!$B$2:$B$46, 1))), TRUE, FALSE)), {0,0,0,1,0,0,0,0,0,0,0,0}))
/SUM(_xlfn._xlws.FILTER(_xlfn._xlws.FILTER(Courses!$B$2:$M$46, IF(NOT(ISERROR(SEARCH(LEFT(B15,FIND(" ",B15)-1), Courses!$B$2:$B$46, 1))), TRUE, FALSE)), {0,0,0,1,0,0,0,0,0,0,0,0})), 0.5)</f>
        <v>9</v>
      </c>
      <c r="H15" s="1">
        <f t="shared" si="0"/>
        <v>0.39779005524861877</v>
      </c>
      <c r="I15" s="1" cm="1">
        <f t="array" ref="I15">MROUND(SUMPRODUCT(
_xlfn._xlws.FILTER(_xlfn._xlws.FILTER(Courses!$B$2:$M$46, IF(NOT(ISERROR(SEARCH(LEFT(B15,FIND(" ",B15)-1), Courses!$B$2:$B$46, 1))), TRUE, FALSE)), {0,0,0,0,0,0,0,0,0,1,0,0}),
_xlfn._xlws.FILTER(_xlfn._xlws.FILTER(Courses!$B$2:$M$46, IF(NOT(ISERROR(SEARCH(LEFT(B15,FIND(" ",B15)-1), Courses!$B$2:$B$46, 1))), TRUE, FALSE)), {0,0,0,1,0,0,0,0,0,0,0,0}))
/SUM(_xlfn._xlws.FILTER(_xlfn._xlws.FILTER(Courses!$B$2:$M$46, IF(NOT(ISERROR(SEARCH(LEFT(B15,FIND(" ",B15)-1), Courses!$B$2:$B$46, 1))), TRUE, FALSE)), {0,0,0,1,0,0,0,0,0,0,0,0})), 0.5)</f>
        <v>7</v>
      </c>
      <c r="J15" s="1">
        <f t="shared" si="1"/>
        <v>0.30939226519337015</v>
      </c>
    </row>
    <row r="16" spans="2:14" x14ac:dyDescent="0.25">
      <c r="B16" s="21" t="s">
        <v>14</v>
      </c>
      <c r="C16" s="19" cm="1">
        <f t="array" ref="C16">MROUND(
SUMPRODUCT(
_xlfn._xlws.FILTER(_xlfn._xlws.FILTER(Courses!$B$2:$E$46, IF(NOT(ISERROR(SEARCH(LEFT(B16,FIND(" ",B16)-1), Courses!$B$2:$B$46, 1))), TRUE, FALSE)), {0,0,1,0}),
_xlfn._xlws.FILTER(_xlfn._xlws.FILTER(Courses!$B$2:$E$46, IF(NOT(ISERROR(SEARCH(LEFT(B16,FIND(" ",B16)-1), Courses!$B$2:$B$46, 1))), TRUE, FALSE)), {0,0,0,1})
)
/SUM(_xlfn._xlws.FILTER(_xlfn._xlws.FILTER(Courses!$B$2:$E$46, IF(NOT(ISERROR(SEARCH(LEFT(B16,FIND(" ",B16)-1), Courses!$B$2:$B$46, 1))), TRUE, FALSE)), {0,0,0,1})),
0.5)</f>
        <v>0</v>
      </c>
      <c r="D16" s="1" cm="1">
        <f t="array" ref="D16">SUM(
_xlfn._xlws.FILTER(
_xlfn._xlws.FILTER(Courses!$B$2:$E$46, IF(NOT(ISERROR(SEARCH(LEFT(B16,FIND(" ",B16)-1), Courses!$B$2:$B$46, 1))), TRUE, FALSE)),
{0,0,0,1})
)</f>
        <v>6</v>
      </c>
      <c r="E16" s="34" cm="1">
        <f t="array" ref="E16">_xlfn.XLOOKUP(1, --ISNUMBER(SEARCH(LEFT(B16,FIND(" ",B16)-1), Courses!$B$2:$B$46)), Courses!$M$2:$M$46, "no match")</f>
        <v>2</v>
      </c>
      <c r="F16" s="1" t="b" cm="1">
        <f t="array" ref="F16">AND(AND(_xlfn._xlws.FILTER(_xlfn._xlws.FILTER(Courses!$B$2:$N$46,IF(NOT(ISERROR(SEARCH(LEFT(B16,FIND(" ",B16)-1),Courses!$B$2:$B$46,1))),TRUE,FALSE)),{0,0,0,0,0,0,0,0,0,0,0,0,1})), C16&gt;5.99)</f>
        <v>0</v>
      </c>
      <c r="G16" s="1" cm="1">
        <f t="array" ref="G16">MROUND(SUMPRODUCT(
_xlfn._xlws.FILTER(_xlfn._xlws.FILTER(Courses!$B$2:$M$46, IF(NOT(ISERROR(SEARCH(LEFT(B16,FIND(" ",B16)-1), Courses!$B$2:$B$46, 1))), TRUE, FALSE)), {0,0,0,0,0,0,0,1,0,0,0,0}),
_xlfn._xlws.FILTER(_xlfn._xlws.FILTER(Courses!$B$2:$M$46, IF(NOT(ISERROR(SEARCH(LEFT(B16,FIND(" ",B16)-1), Courses!$B$2:$B$46, 1))), TRUE, FALSE)), {0,0,0,1,0,0,0,0,0,0,0,0}))
/SUM(_xlfn._xlws.FILTER(_xlfn._xlws.FILTER(Courses!$B$2:$M$46, IF(NOT(ISERROR(SEARCH(LEFT(B16,FIND(" ",B16)-1), Courses!$B$2:$B$46, 1))), TRUE, FALSE)), {0,0,0,1,0,0,0,0,0,0,0,0})), 0.5)</f>
        <v>9</v>
      </c>
      <c r="H16" s="1">
        <f t="shared" si="0"/>
        <v>0.2983425414364641</v>
      </c>
      <c r="I16" s="1" cm="1">
        <f t="array" ref="I16">MROUND(SUMPRODUCT(
_xlfn._xlws.FILTER(_xlfn._xlws.FILTER(Courses!$B$2:$M$46, IF(NOT(ISERROR(SEARCH(LEFT(B16,FIND(" ",B16)-1), Courses!$B$2:$B$46, 1))), TRUE, FALSE)), {0,0,0,0,0,0,0,0,0,1,0,0}),
_xlfn._xlws.FILTER(_xlfn._xlws.FILTER(Courses!$B$2:$M$46, IF(NOT(ISERROR(SEARCH(LEFT(B16,FIND(" ",B16)-1), Courses!$B$2:$B$46, 1))), TRUE, FALSE)), {0,0,0,1,0,0,0,0,0,0,0,0}))
/SUM(_xlfn._xlws.FILTER(_xlfn._xlws.FILTER(Courses!$B$2:$M$46, IF(NOT(ISERROR(SEARCH(LEFT(B16,FIND(" ",B16)-1), Courses!$B$2:$B$46, 1))), TRUE, FALSE)), {0,0,0,1,0,0,0,0,0,0,0,0})), 0.5)</f>
        <v>7</v>
      </c>
      <c r="J16" s="1">
        <f t="shared" si="1"/>
        <v>0.23204419889502761</v>
      </c>
    </row>
    <row r="17" spans="2:10" x14ac:dyDescent="0.25">
      <c r="B17" s="21" t="s">
        <v>6</v>
      </c>
      <c r="C17" s="19" cm="1">
        <f t="array" ref="C17">MROUND(
SUMPRODUCT(
_xlfn._xlws.FILTER(_xlfn._xlws.FILTER(Courses!$B$2:$E$46, IF(NOT(ISERROR(SEARCH(LEFT(B17,FIND(" ",B17)-1), Courses!$B$2:$B$46, 1))), TRUE, FALSE)), {0,0,1,0}),
_xlfn._xlws.FILTER(_xlfn._xlws.FILTER(Courses!$B$2:$E$46, IF(NOT(ISERROR(SEARCH(LEFT(B17,FIND(" ",B17)-1), Courses!$B$2:$B$46, 1))), TRUE, FALSE)), {0,0,0,1})
)
/SUM(_xlfn._xlws.FILTER(_xlfn._xlws.FILTER(Courses!$B$2:$E$46, IF(NOT(ISERROR(SEARCH(LEFT(B17,FIND(" ",B17)-1), Courses!$B$2:$B$46, 1))), TRUE, FALSE)), {0,0,0,1})),
0.5)</f>
        <v>0</v>
      </c>
      <c r="D17" s="1" cm="1">
        <f t="array" ref="D17">SUM(
_xlfn._xlws.FILTER(
_xlfn._xlws.FILTER(Courses!$B$2:$E$46, IF(NOT(ISERROR(SEARCH(LEFT(B17,FIND(" ",B17)-1), Courses!$B$2:$B$46, 1))), TRUE, FALSE)),
{0,0,0,1})
)</f>
        <v>8</v>
      </c>
      <c r="E17" s="34" cm="1">
        <f t="array" ref="E17">_xlfn.XLOOKUP(1, --ISNUMBER(SEARCH(LEFT(B17,FIND(" ",B17)-1), Courses!$B$2:$B$46)), Courses!$M$2:$M$46, "no match")</f>
        <v>2</v>
      </c>
      <c r="F17" s="1" t="b" cm="1">
        <f t="array" ref="F17">AND(AND(_xlfn._xlws.FILTER(_xlfn._xlws.FILTER(Courses!$B$2:$N$46,IF(NOT(ISERROR(SEARCH(LEFT(B17,FIND(" ",B17)-1),Courses!$B$2:$B$46,1))),TRUE,FALSE)),{0,0,0,0,0,0,0,0,0,0,0,0,1})), C17&gt;5.99)</f>
        <v>0</v>
      </c>
      <c r="G17" s="1" cm="1">
        <f t="array" ref="G17">MROUND(SUMPRODUCT(
_xlfn._xlws.FILTER(_xlfn._xlws.FILTER(Courses!$B$2:$M$46, IF(NOT(ISERROR(SEARCH(LEFT(B17,FIND(" ",B17)-1), Courses!$B$2:$B$46, 1))), TRUE, FALSE)), {0,0,0,0,0,0,0,1,0,0,0,0}),
_xlfn._xlws.FILTER(_xlfn._xlws.FILTER(Courses!$B$2:$M$46, IF(NOT(ISERROR(SEARCH(LEFT(B17,FIND(" ",B17)-1), Courses!$B$2:$B$46, 1))), TRUE, FALSE)), {0,0,0,1,0,0,0,0,0,0,0,0}))
/SUM(_xlfn._xlws.FILTER(_xlfn._xlws.FILTER(Courses!$B$2:$M$46, IF(NOT(ISERROR(SEARCH(LEFT(B17,FIND(" ",B17)-1), Courses!$B$2:$B$46, 1))), TRUE, FALSE)), {0,0,0,1,0,0,0,0,0,0,0,0})), 0.5)</f>
        <v>9</v>
      </c>
      <c r="H17" s="1">
        <f t="shared" si="0"/>
        <v>0.39779005524861877</v>
      </c>
      <c r="I17" s="1" cm="1">
        <f t="array" ref="I17">MROUND(SUMPRODUCT(
_xlfn._xlws.FILTER(_xlfn._xlws.FILTER(Courses!$B$2:$M$46, IF(NOT(ISERROR(SEARCH(LEFT(B17,FIND(" ",B17)-1), Courses!$B$2:$B$46, 1))), TRUE, FALSE)), {0,0,0,0,0,0,0,0,0,1,0,0}),
_xlfn._xlws.FILTER(_xlfn._xlws.FILTER(Courses!$B$2:$M$46, IF(NOT(ISERROR(SEARCH(LEFT(B17,FIND(" ",B17)-1), Courses!$B$2:$B$46, 1))), TRUE, FALSE)), {0,0,0,1,0,0,0,0,0,0,0,0}))
/SUM(_xlfn._xlws.FILTER(_xlfn._xlws.FILTER(Courses!$B$2:$M$46, IF(NOT(ISERROR(SEARCH(LEFT(B17,FIND(" ",B17)-1), Courses!$B$2:$B$46, 1))), TRUE, FALSE)), {0,0,0,1,0,0,0,0,0,0,0,0})), 0.5)</f>
        <v>7</v>
      </c>
      <c r="J17" s="1">
        <f t="shared" si="1"/>
        <v>0.30939226519337015</v>
      </c>
    </row>
    <row r="18" spans="2:10" x14ac:dyDescent="0.25">
      <c r="B18" s="21" t="s">
        <v>8</v>
      </c>
      <c r="C18" s="19" cm="1">
        <f t="array" ref="C18">MROUND(
SUMPRODUCT(
_xlfn._xlws.FILTER(_xlfn._xlws.FILTER(Courses!$B$2:$E$46, IF(NOT(ISERROR(SEARCH(LEFT(B18,FIND(" ",B18)-1), Courses!$B$2:$B$46, 1))), TRUE, FALSE)), {0,0,1,0}),
_xlfn._xlws.FILTER(_xlfn._xlws.FILTER(Courses!$B$2:$E$46, IF(NOT(ISERROR(SEARCH(LEFT(B18,FIND(" ",B18)-1), Courses!$B$2:$B$46, 1))), TRUE, FALSE)), {0,0,0,1})
)
/SUM(_xlfn._xlws.FILTER(_xlfn._xlws.FILTER(Courses!$B$2:$E$46, IF(NOT(ISERROR(SEARCH(LEFT(B18,FIND(" ",B18)-1), Courses!$B$2:$B$46, 1))), TRUE, FALSE)), {0,0,0,1})),
0.5)</f>
        <v>0</v>
      </c>
      <c r="D18" s="1" cm="1">
        <f t="array" ref="D18">SUM(
_xlfn._xlws.FILTER(
_xlfn._xlws.FILTER(Courses!$B$2:$E$46, IF(NOT(ISERROR(SEARCH(LEFT(B18,FIND(" ",B18)-1), Courses!$B$2:$B$46, 1))), TRUE, FALSE)),
{0,0,0,1})
)</f>
        <v>7</v>
      </c>
      <c r="E18" s="34" cm="1">
        <f t="array" ref="E18">_xlfn.XLOOKUP(1, --ISNUMBER(SEARCH(LEFT(B18,FIND(" ",B18)-1), Courses!$B$2:$B$46)), Courses!$M$2:$M$46, "no match")</f>
        <v>2</v>
      </c>
      <c r="F18" s="1" t="b" cm="1">
        <f t="array" ref="F18">AND(AND(_xlfn._xlws.FILTER(_xlfn._xlws.FILTER(Courses!$B$2:$N$46,IF(NOT(ISERROR(SEARCH(LEFT(B18,FIND(" ",B18)-1),Courses!$B$2:$B$46,1))),TRUE,FALSE)),{0,0,0,0,0,0,0,0,0,0,0,0,1})), C18&gt;5.99)</f>
        <v>0</v>
      </c>
      <c r="G18" s="1" cm="1">
        <f t="array" ref="G18">MROUND(SUMPRODUCT(
_xlfn._xlws.FILTER(_xlfn._xlws.FILTER(Courses!$B$2:$M$46, IF(NOT(ISERROR(SEARCH(LEFT(B18,FIND(" ",B18)-1), Courses!$B$2:$B$46, 1))), TRUE, FALSE)), {0,0,0,0,0,0,0,1,0,0,0,0}),
_xlfn._xlws.FILTER(_xlfn._xlws.FILTER(Courses!$B$2:$M$46, IF(NOT(ISERROR(SEARCH(LEFT(B18,FIND(" ",B18)-1), Courses!$B$2:$B$46, 1))), TRUE, FALSE)), {0,0,0,1,0,0,0,0,0,0,0,0}))
/SUM(_xlfn._xlws.FILTER(_xlfn._xlws.FILTER(Courses!$B$2:$M$46, IF(NOT(ISERROR(SEARCH(LEFT(B18,FIND(" ",B18)-1), Courses!$B$2:$B$46, 1))), TRUE, FALSE)), {0,0,0,1,0,0,0,0,0,0,0,0})), 0.5)</f>
        <v>9</v>
      </c>
      <c r="H18" s="1">
        <f t="shared" si="0"/>
        <v>0.34806629834254144</v>
      </c>
      <c r="I18" s="1" cm="1">
        <f t="array" ref="I18">MROUND(SUMPRODUCT(
_xlfn._xlws.FILTER(_xlfn._xlws.FILTER(Courses!$B$2:$M$46, IF(NOT(ISERROR(SEARCH(LEFT(B18,FIND(" ",B18)-1), Courses!$B$2:$B$46, 1))), TRUE, FALSE)), {0,0,0,0,0,0,0,0,0,1,0,0}),
_xlfn._xlws.FILTER(_xlfn._xlws.FILTER(Courses!$B$2:$M$46, IF(NOT(ISERROR(SEARCH(LEFT(B18,FIND(" ",B18)-1), Courses!$B$2:$B$46, 1))), TRUE, FALSE)), {0,0,0,1,0,0,0,0,0,0,0,0}))
/SUM(_xlfn._xlws.FILTER(_xlfn._xlws.FILTER(Courses!$B$2:$M$46, IF(NOT(ISERROR(SEARCH(LEFT(B18,FIND(" ",B18)-1), Courses!$B$2:$B$46, 1))), TRUE, FALSE)), {0,0,0,1,0,0,0,0,0,0,0,0})), 0.5)</f>
        <v>7</v>
      </c>
      <c r="J18" s="1">
        <f t="shared" si="1"/>
        <v>0.27071823204419887</v>
      </c>
    </row>
    <row r="19" spans="2:10" x14ac:dyDescent="0.25">
      <c r="B19" s="21" t="s">
        <v>4</v>
      </c>
      <c r="C19" s="19" cm="1">
        <f t="array" ref="C19">MROUND(
SUMPRODUCT(
_xlfn._xlws.FILTER(_xlfn._xlws.FILTER(Courses!$B$2:$E$46, IF(NOT(ISERROR(SEARCH(LEFT(B19,FIND(" ",B19)-1), Courses!$B$2:$B$46, 1))), TRUE, FALSE)), {0,0,1,0}),
_xlfn._xlws.FILTER(_xlfn._xlws.FILTER(Courses!$B$2:$E$46, IF(NOT(ISERROR(SEARCH(LEFT(B19,FIND(" ",B19)-1), Courses!$B$2:$B$46, 1))), TRUE, FALSE)), {0,0,0,1})
)
/SUM(_xlfn._xlws.FILTER(_xlfn._xlws.FILTER(Courses!$B$2:$E$46, IF(NOT(ISERROR(SEARCH(LEFT(B19,FIND(" ",B19)-1), Courses!$B$2:$B$46, 1))), TRUE, FALSE)), {0,0,0,1})),
0.5)</f>
        <v>0</v>
      </c>
      <c r="D19" s="1" cm="1">
        <f t="array" ref="D19">SUM(
_xlfn._xlws.FILTER(
_xlfn._xlws.FILTER(Courses!$B$2:$E$46, IF(NOT(ISERROR(SEARCH(LEFT(B19,FIND(" ",B19)-1), Courses!$B$2:$B$46, 1))), TRUE, FALSE)),
{0,0,0,1})
)</f>
        <v>8</v>
      </c>
      <c r="E19" s="34" cm="1">
        <f t="array" ref="E19">_xlfn.XLOOKUP(1, --ISNUMBER(SEARCH(LEFT(B19,FIND(" ",B19)-1), Courses!$B$2:$B$46)), Courses!$M$2:$M$46, "no match")</f>
        <v>2</v>
      </c>
      <c r="F19" s="1" t="b" cm="1">
        <f t="array" ref="F19">AND(AND(_xlfn._xlws.FILTER(_xlfn._xlws.FILTER(Courses!$B$2:$N$46,IF(NOT(ISERROR(SEARCH(LEFT(B19,FIND(" ",B19)-1),Courses!$B$2:$B$46,1))),TRUE,FALSE)),{0,0,0,0,0,0,0,0,0,0,0,0,1})), C19&gt;5.99)</f>
        <v>0</v>
      </c>
      <c r="G19" s="1" cm="1">
        <f t="array" ref="G19">MROUND(SUMPRODUCT(
_xlfn._xlws.FILTER(_xlfn._xlws.FILTER(Courses!$B$2:$M$46, IF(NOT(ISERROR(SEARCH(LEFT(B19,FIND(" ",B19)-1), Courses!$B$2:$B$46, 1))), TRUE, FALSE)), {0,0,0,0,0,0,0,1,0,0,0,0}),
_xlfn._xlws.FILTER(_xlfn._xlws.FILTER(Courses!$B$2:$M$46, IF(NOT(ISERROR(SEARCH(LEFT(B19,FIND(" ",B19)-1), Courses!$B$2:$B$46, 1))), TRUE, FALSE)), {0,0,0,1,0,0,0,0,0,0,0,0}))
/SUM(_xlfn._xlws.FILTER(_xlfn._xlws.FILTER(Courses!$B$2:$M$46, IF(NOT(ISERROR(SEARCH(LEFT(B19,FIND(" ",B19)-1), Courses!$B$2:$B$46, 1))), TRUE, FALSE)), {0,0,0,1,0,0,0,0,0,0,0,0})), 0.5)</f>
        <v>9</v>
      </c>
      <c r="H19" s="1">
        <f t="shared" si="0"/>
        <v>0.39779005524861877</v>
      </c>
      <c r="I19" s="1" cm="1">
        <f t="array" ref="I19">MROUND(SUMPRODUCT(
_xlfn._xlws.FILTER(_xlfn._xlws.FILTER(Courses!$B$2:$M$46, IF(NOT(ISERROR(SEARCH(LEFT(B19,FIND(" ",B19)-1), Courses!$B$2:$B$46, 1))), TRUE, FALSE)), {0,0,0,0,0,0,0,0,0,1,0,0}),
_xlfn._xlws.FILTER(_xlfn._xlws.FILTER(Courses!$B$2:$M$46, IF(NOT(ISERROR(SEARCH(LEFT(B19,FIND(" ",B19)-1), Courses!$B$2:$B$46, 1))), TRUE, FALSE)), {0,0,0,1,0,0,0,0,0,0,0,0}))
/SUM(_xlfn._xlws.FILTER(_xlfn._xlws.FILTER(Courses!$B$2:$M$46, IF(NOT(ISERROR(SEARCH(LEFT(B19,FIND(" ",B19)-1), Courses!$B$2:$B$46, 1))), TRUE, FALSE)), {0,0,0,1,0,0,0,0,0,0,0,0})), 0.5)</f>
        <v>7</v>
      </c>
      <c r="J19" s="1">
        <f t="shared" si="1"/>
        <v>0.30939226519337015</v>
      </c>
    </row>
    <row r="20" spans="2:10" x14ac:dyDescent="0.25">
      <c r="B20" s="21" t="s">
        <v>15</v>
      </c>
      <c r="C20" s="19" cm="1">
        <f t="array" ref="C20">MROUND(
SUMPRODUCT(
_xlfn._xlws.FILTER(_xlfn._xlws.FILTER(Courses!$B$2:$E$46, IF(NOT(ISERROR(SEARCH(LEFT(B20,FIND(" ",B20)-1), Courses!$B$2:$B$46, 1))), TRUE, FALSE)), {0,0,1,0}),
_xlfn._xlws.FILTER(_xlfn._xlws.FILTER(Courses!$B$2:$E$46, IF(NOT(ISERROR(SEARCH(LEFT(B20,FIND(" ",B20)-1), Courses!$B$2:$B$46, 1))), TRUE, FALSE)), {0,0,0,1})
)
/SUM(_xlfn._xlws.FILTER(_xlfn._xlws.FILTER(Courses!$B$2:$E$46, IF(NOT(ISERROR(SEARCH(LEFT(B20,FIND(" ",B20)-1), Courses!$B$2:$B$46, 1))), TRUE, FALSE)), {0,0,0,1})),
0.5)</f>
        <v>0</v>
      </c>
      <c r="D20" s="1" cm="1">
        <f t="array" ref="D20">SUM(
_xlfn._xlws.FILTER(
_xlfn._xlws.FILTER(Courses!$B$2:$E$46, IF(NOT(ISERROR(SEARCH(LEFT(B20,FIND(" ",B20)-1), Courses!$B$2:$B$46, 1))), TRUE, FALSE)),
{0,0,0,1})
)</f>
        <v>6</v>
      </c>
      <c r="E20" s="34" cm="1">
        <f t="array" ref="E20">_xlfn.XLOOKUP(1, --ISNUMBER(SEARCH(LEFT(B20,FIND(" ",B20)-1), Courses!$B$2:$B$46)), Courses!$M$2:$M$46, "no match")</f>
        <v>3</v>
      </c>
      <c r="F20" s="1" t="b" cm="1">
        <f t="array" ref="F20">AND(AND(_xlfn._xlws.FILTER(_xlfn._xlws.FILTER(Courses!$B$2:$N$46,IF(NOT(ISERROR(SEARCH(LEFT(B20,FIND(" ",B20)-1),Courses!$B$2:$B$46,1))),TRUE,FALSE)),{0,0,0,0,0,0,0,0,0,0,0,0,1})), C20&gt;5.99)</f>
        <v>0</v>
      </c>
      <c r="G20" s="1" cm="1">
        <f t="array" ref="G20">MROUND(SUMPRODUCT(
_xlfn._xlws.FILTER(_xlfn._xlws.FILTER(Courses!$B$2:$M$46, IF(NOT(ISERROR(SEARCH(LEFT(B20,FIND(" ",B20)-1), Courses!$B$2:$B$46, 1))), TRUE, FALSE)), {0,0,0,0,0,0,0,1,0,0,0,0}),
_xlfn._xlws.FILTER(_xlfn._xlws.FILTER(Courses!$B$2:$M$46, IF(NOT(ISERROR(SEARCH(LEFT(B20,FIND(" ",B20)-1), Courses!$B$2:$B$46, 1))), TRUE, FALSE)), {0,0,0,1,0,0,0,0,0,0,0,0}))
/SUM(_xlfn._xlws.FILTER(_xlfn._xlws.FILTER(Courses!$B$2:$M$46, IF(NOT(ISERROR(SEARCH(LEFT(B20,FIND(" ",B20)-1), Courses!$B$2:$B$46, 1))), TRUE, FALSE)), {0,0,0,1,0,0,0,0,0,0,0,0})), 0.5)</f>
        <v>9</v>
      </c>
      <c r="H20" s="1">
        <f t="shared" si="0"/>
        <v>0.2983425414364641</v>
      </c>
      <c r="I20" s="1" cm="1">
        <f t="array" ref="I20">MROUND(SUMPRODUCT(
_xlfn._xlws.FILTER(_xlfn._xlws.FILTER(Courses!$B$2:$M$46, IF(NOT(ISERROR(SEARCH(LEFT(B20,FIND(" ",B20)-1), Courses!$B$2:$B$46, 1))), TRUE, FALSE)), {0,0,0,0,0,0,0,0,0,1,0,0}),
_xlfn._xlws.FILTER(_xlfn._xlws.FILTER(Courses!$B$2:$M$46, IF(NOT(ISERROR(SEARCH(LEFT(B20,FIND(" ",B20)-1), Courses!$B$2:$B$46, 1))), TRUE, FALSE)), {0,0,0,1,0,0,0,0,0,0,0,0}))
/SUM(_xlfn._xlws.FILTER(_xlfn._xlws.FILTER(Courses!$B$2:$M$46, IF(NOT(ISERROR(SEARCH(LEFT(B20,FIND(" ",B20)-1), Courses!$B$2:$B$46, 1))), TRUE, FALSE)), {0,0,0,1,0,0,0,0,0,0,0,0})), 0.5)</f>
        <v>7</v>
      </c>
      <c r="J20" s="1">
        <f t="shared" si="1"/>
        <v>0.23204419889502761</v>
      </c>
    </row>
    <row r="21" spans="2:10" x14ac:dyDescent="0.25">
      <c r="B21" s="1" t="s">
        <v>1</v>
      </c>
      <c r="C21" s="19" cm="1">
        <f t="array" ref="C21">MROUND(
SUMPRODUCT(
_xlfn._xlws.FILTER(_xlfn._xlws.FILTER(Courses!$B$2:$E$46, IF(NOT(ISERROR(SEARCH(LEFT(B21,FIND(" ",B21)-1), Courses!$B$2:$B$46, 1))), TRUE, FALSE)), {0,0,1,0}),
_xlfn._xlws.FILTER(_xlfn._xlws.FILTER(Courses!$B$2:$E$46, IF(NOT(ISERROR(SEARCH(LEFT(B21,FIND(" ",B21)-1), Courses!$B$2:$B$46, 1))), TRUE, FALSE)), {0,0,0,1})
)
/SUM(_xlfn._xlws.FILTER(_xlfn._xlws.FILTER(Courses!$B$2:$E$46, IF(NOT(ISERROR(SEARCH(LEFT(B21,FIND(" ",B21)-1), Courses!$B$2:$B$46, 1))), TRUE, FALSE)), {0,0,0,1})),
0.5)</f>
        <v>0</v>
      </c>
      <c r="D21" s="1" cm="1">
        <f t="array" ref="D21">SUM(
_xlfn._xlws.FILTER(
_xlfn._xlws.FILTER(Courses!$B$2:$E$46, IF(NOT(ISERROR(SEARCH(LEFT(B21,FIND(" ",B21)-1), Courses!$B$2:$B$46, 1))), TRUE, FALSE)),
{0,0,0,1})
)</f>
        <v>15</v>
      </c>
      <c r="E21" s="34" cm="1">
        <f t="array" ref="E21">_xlfn.XLOOKUP(1, --ISNUMBER(SEARCH(LEFT(B21,FIND(" ",B21)-1), Courses!$B$2:$B$46)), Courses!$M$2:$M$46, "no match")</f>
        <v>3</v>
      </c>
      <c r="F21" s="1" t="b" cm="1">
        <f t="array" ref="F21">AND(AND(_xlfn._xlws.FILTER(_xlfn._xlws.FILTER(Courses!$B$2:$N$46,IF(NOT(ISERROR(SEARCH(LEFT(B21,FIND(" ",B21)-1),Courses!$B$2:$B$46,1))),TRUE,FALSE)),{0,0,0,0,0,0,0,0,0,0,0,0,1})), C21&gt;5.99)</f>
        <v>0</v>
      </c>
      <c r="G21" s="1" cm="1">
        <f t="array" ref="G21">MROUND(SUMPRODUCT(
_xlfn._xlws.FILTER(_xlfn._xlws.FILTER(Courses!$B$2:$M$46, IF(NOT(ISERROR(SEARCH(LEFT(B21,FIND(" ",B21)-1), Courses!$B$2:$B$46, 1))), TRUE, FALSE)), {0,0,0,0,0,0,0,1,0,0,0,0}),
_xlfn._xlws.FILTER(_xlfn._xlws.FILTER(Courses!$B$2:$M$46, IF(NOT(ISERROR(SEARCH(LEFT(B21,FIND(" ",B21)-1), Courses!$B$2:$B$46, 1))), TRUE, FALSE)), {0,0,0,1,0,0,0,0,0,0,0,0}))
/SUM(_xlfn._xlws.FILTER(_xlfn._xlws.FILTER(Courses!$B$2:$M$46, IF(NOT(ISERROR(SEARCH(LEFT(B21,FIND(" ",B21)-1), Courses!$B$2:$B$46, 1))), TRUE, FALSE)), {0,0,0,1,0,0,0,0,0,0,0,0})), 0.5)</f>
        <v>9</v>
      </c>
      <c r="H21" s="1">
        <f t="shared" si="0"/>
        <v>0.7458563535911602</v>
      </c>
      <c r="I21" s="1" cm="1">
        <f t="array" ref="I21">MROUND(SUMPRODUCT(
_xlfn._xlws.FILTER(_xlfn._xlws.FILTER(Courses!$B$2:$M$46, IF(NOT(ISERROR(SEARCH(LEFT(B21,FIND(" ",B21)-1), Courses!$B$2:$B$46, 1))), TRUE, FALSE)), {0,0,0,0,0,0,0,0,0,1,0,0}),
_xlfn._xlws.FILTER(_xlfn._xlws.FILTER(Courses!$B$2:$M$46, IF(NOT(ISERROR(SEARCH(LEFT(B21,FIND(" ",B21)-1), Courses!$B$2:$B$46, 1))), TRUE, FALSE)), {0,0,0,1,0,0,0,0,0,0,0,0}))
/SUM(_xlfn._xlws.FILTER(_xlfn._xlws.FILTER(Courses!$B$2:$M$46, IF(NOT(ISERROR(SEARCH(LEFT(B21,FIND(" ",B21)-1), Courses!$B$2:$B$46, 1))), TRUE, FALSE)), {0,0,0,1,0,0,0,0,0,0,0,0})), 0.5)</f>
        <v>7</v>
      </c>
      <c r="J21" s="1">
        <f t="shared" si="1"/>
        <v>0.58011049723756902</v>
      </c>
    </row>
    <row r="22" spans="2:10" x14ac:dyDescent="0.25">
      <c r="B22" s="21" t="s">
        <v>68</v>
      </c>
      <c r="C22" s="19" cm="1">
        <f t="array" ref="C22">MROUND(
SUMPRODUCT(
_xlfn._xlws.FILTER(_xlfn._xlws.FILTER(Courses!$B$2:$E$46, IF(NOT(ISERROR(SEARCH(LEFT(B22,FIND(" ",B22)-1), Courses!$B$2:$B$46, 1))), TRUE, FALSE)), {0,0,1,0}),
_xlfn._xlws.FILTER(_xlfn._xlws.FILTER(Courses!$B$2:$E$46, IF(NOT(ISERROR(SEARCH(LEFT(B22,FIND(" ",B22)-1), Courses!$B$2:$B$46, 1))), TRUE, FALSE)), {0,0,0,1})
)
/SUM(_xlfn._xlws.FILTER(_xlfn._xlws.FILTER(Courses!$B$2:$E$46, IF(NOT(ISERROR(SEARCH(LEFT(B22,FIND(" ",B22)-1), Courses!$B$2:$B$46, 1))), TRUE, FALSE)), {0,0,0,1})),
0.5)</f>
        <v>0</v>
      </c>
      <c r="D22" s="1" cm="1">
        <f t="array" ref="D22">SUM(
_xlfn._xlws.FILTER(
_xlfn._xlws.FILTER(Courses!$B$2:$E$46, IF(NOT(ISERROR(SEARCH(LEFT(B22,FIND(" ",B22)-1), Courses!$B$2:$B$46, 1))), TRUE, FALSE)),
{0,0,0,1})
)</f>
        <v>9</v>
      </c>
      <c r="E22" s="34" cm="1">
        <f t="array" ref="E22">_xlfn.XLOOKUP(1, --ISNUMBER(SEARCH(LEFT(B22,FIND(" ",B22)-1), Courses!$B$2:$B$46)), Courses!$M$2:$M$46, "no match")</f>
        <v>3</v>
      </c>
      <c r="F22" s="1" t="b" cm="1">
        <f t="array" ref="F22">AND(AND(_xlfn._xlws.FILTER(_xlfn._xlws.FILTER(Courses!$B$2:$N$46,IF(NOT(ISERROR(SEARCH(LEFT(B22,FIND(" ",B22)-1),Courses!$B$2:$B$46,1))),TRUE,FALSE)),{0,0,0,0,0,0,0,0,0,0,0,0,1})), C22&gt;5.99)</f>
        <v>0</v>
      </c>
      <c r="G22" s="1" cm="1">
        <f t="array" ref="G22">MROUND(SUMPRODUCT(
_xlfn._xlws.FILTER(_xlfn._xlws.FILTER(Courses!$B$2:$M$46, IF(NOT(ISERROR(SEARCH(LEFT(B22,FIND(" ",B22)-1), Courses!$B$2:$B$46, 1))), TRUE, FALSE)), {0,0,0,0,0,0,0,1,0,0,0,0}),
_xlfn._xlws.FILTER(_xlfn._xlws.FILTER(Courses!$B$2:$M$46, IF(NOT(ISERROR(SEARCH(LEFT(B22,FIND(" ",B22)-1), Courses!$B$2:$B$46, 1))), TRUE, FALSE)), {0,0,0,1,0,0,0,0,0,0,0,0}))
/SUM(_xlfn._xlws.FILTER(_xlfn._xlws.FILTER(Courses!$B$2:$M$46, IF(NOT(ISERROR(SEARCH(LEFT(B22,FIND(" ",B22)-1), Courses!$B$2:$B$46, 1))), TRUE, FALSE)), {0,0,0,1,0,0,0,0,0,0,0,0})), 0.5)</f>
        <v>9</v>
      </c>
      <c r="H22" s="1">
        <f t="shared" si="0"/>
        <v>0.44751381215469616</v>
      </c>
      <c r="I22" s="1" cm="1">
        <f t="array" ref="I22">MROUND(SUMPRODUCT(
_xlfn._xlws.FILTER(_xlfn._xlws.FILTER(Courses!$B$2:$M$46, IF(NOT(ISERROR(SEARCH(LEFT(B22,FIND(" ",B22)-1), Courses!$B$2:$B$46, 1))), TRUE, FALSE)), {0,0,0,0,0,0,0,0,0,1,0,0}),
_xlfn._xlws.FILTER(_xlfn._xlws.FILTER(Courses!$B$2:$M$46, IF(NOT(ISERROR(SEARCH(LEFT(B22,FIND(" ",B22)-1), Courses!$B$2:$B$46, 1))), TRUE, FALSE)), {0,0,0,1,0,0,0,0,0,0,0,0}))
/SUM(_xlfn._xlws.FILTER(_xlfn._xlws.FILTER(Courses!$B$2:$M$46, IF(NOT(ISERROR(SEARCH(LEFT(B22,FIND(" ",B22)-1), Courses!$B$2:$B$46, 1))), TRUE, FALSE)), {0,0,0,1,0,0,0,0,0,0,0,0})), 0.5)</f>
        <v>7</v>
      </c>
      <c r="J22" s="1">
        <f t="shared" si="1"/>
        <v>0.34806629834254144</v>
      </c>
    </row>
    <row r="23" spans="2:10" x14ac:dyDescent="0.25">
      <c r="B23" s="1" t="s">
        <v>22</v>
      </c>
      <c r="C23" s="19" cm="1">
        <f t="array" ref="C23">MROUND(
SUMPRODUCT(
_xlfn._xlws.FILTER(_xlfn._xlws.FILTER(Courses!$B$2:$E$46, IF(NOT(ISERROR(SEARCH(LEFT(B23,FIND(" ",B23)-1), Courses!$B$2:$B$46, 1))), TRUE, FALSE)), {0,0,1,0}),
_xlfn._xlws.FILTER(_xlfn._xlws.FILTER(Courses!$B$2:$E$46, IF(NOT(ISERROR(SEARCH(LEFT(B23,FIND(" ",B23)-1), Courses!$B$2:$B$46, 1))), TRUE, FALSE)), {0,0,0,1})
)
/SUM(_xlfn._xlws.FILTER(_xlfn._xlws.FILTER(Courses!$B$2:$E$46, IF(NOT(ISERROR(SEARCH(LEFT(B23,FIND(" ",B23)-1), Courses!$B$2:$B$46, 1))), TRUE, FALSE)), {0,0,0,1})),
0.5)</f>
        <v>0</v>
      </c>
      <c r="D23" s="1" cm="1">
        <f t="array" ref="D23">SUM(
_xlfn._xlws.FILTER(
_xlfn._xlws.FILTER(Courses!$B$2:$E$46, IF(NOT(ISERROR(SEARCH(LEFT(B23,FIND(" ",B23)-1), Courses!$B$2:$B$46, 1))), TRUE, FALSE)),
{0,0,0,1})
)</f>
        <v>2</v>
      </c>
      <c r="E23" s="16" t="str" cm="1">
        <f t="array" ref="E23">_xlfn.XLOOKUP(1, --ISNUMBER(SEARCH(LEFT(B23,FIND(" ",B23)-1), Courses!$B$2:$B$46)), Courses!$M$2:$M$46, "no match")</f>
        <v>Minor</v>
      </c>
      <c r="F23" s="1" t="b" cm="1">
        <f t="array" ref="F23">AND(AND(_xlfn._xlws.FILTER(_xlfn._xlws.FILTER(Courses!$B$2:$N$46,IF(NOT(ISERROR(SEARCH(LEFT(B23,FIND(" ",B23)-1),Courses!$B$2:$B$46,1))),TRUE,FALSE)),{0,0,0,0,0,0,0,0,0,0,0,0,1})), C23&gt;5.99)</f>
        <v>0</v>
      </c>
      <c r="G23" s="1" cm="1">
        <f t="array" ref="G23">MROUND(SUMPRODUCT(
_xlfn._xlws.FILTER(_xlfn._xlws.FILTER(Courses!$B$2:$M$46, IF(NOT(ISERROR(SEARCH(LEFT(B23,FIND(" ",B23)-1), Courses!$B$2:$B$46, 1))), TRUE, FALSE)), {0,0,0,0,0,0,0,1,0,0,0,0}),
_xlfn._xlws.FILTER(_xlfn._xlws.FILTER(Courses!$B$2:$M$46, IF(NOT(ISERROR(SEARCH(LEFT(B23,FIND(" ",B23)-1), Courses!$B$2:$B$46, 1))), TRUE, FALSE)), {0,0,0,1,0,0,0,0,0,0,0,0}))
/SUM(_xlfn._xlws.FILTER(_xlfn._xlws.FILTER(Courses!$B$2:$M$46, IF(NOT(ISERROR(SEARCH(LEFT(B23,FIND(" ",B23)-1), Courses!$B$2:$B$46, 1))), TRUE, FALSE)), {0,0,0,1,0,0,0,0,0,0,0,0})), 0.5)</f>
        <v>9</v>
      </c>
      <c r="H23" s="1">
        <f t="shared" si="0"/>
        <v>9.9447513812154692E-2</v>
      </c>
      <c r="I23" s="1" cm="1">
        <f t="array" ref="I23">MROUND(SUMPRODUCT(
_xlfn._xlws.FILTER(_xlfn._xlws.FILTER(Courses!$B$2:$M$46, IF(NOT(ISERROR(SEARCH(LEFT(B23,FIND(" ",B23)-1), Courses!$B$2:$B$46, 1))), TRUE, FALSE)), {0,0,0,0,0,0,0,0,0,1,0,0}),
_xlfn._xlws.FILTER(_xlfn._xlws.FILTER(Courses!$B$2:$M$46, IF(NOT(ISERROR(SEARCH(LEFT(B23,FIND(" ",B23)-1), Courses!$B$2:$B$46, 1))), TRUE, FALSE)), {0,0,0,1,0,0,0,0,0,0,0,0}))
/SUM(_xlfn._xlws.FILTER(_xlfn._xlws.FILTER(Courses!$B$2:$M$46, IF(NOT(ISERROR(SEARCH(LEFT(B23,FIND(" ",B23)-1), Courses!$B$2:$B$46, 1))), TRUE, FALSE)), {0,0,0,1,0,0,0,0,0,0,0,0})), 0.5)</f>
        <v>7</v>
      </c>
      <c r="J23" s="1">
        <f t="shared" si="1"/>
        <v>7.7348066298342538E-2</v>
      </c>
    </row>
    <row r="24" spans="2:10" x14ac:dyDescent="0.25">
      <c r="B24" s="1" t="s">
        <v>20</v>
      </c>
      <c r="C24" s="19" cm="1">
        <f t="array" ref="C24">MROUND(
SUMPRODUCT(
_xlfn._xlws.FILTER(_xlfn._xlws.FILTER(Courses!$B$2:$E$46, IF(NOT(ISERROR(SEARCH(LEFT(B24,FIND(" ",B24)-1), Courses!$B$2:$B$46, 1))), TRUE, FALSE)), {0,0,1,0}),
_xlfn._xlws.FILTER(_xlfn._xlws.FILTER(Courses!$B$2:$E$46, IF(NOT(ISERROR(SEARCH(LEFT(B24,FIND(" ",B24)-1), Courses!$B$2:$B$46, 1))), TRUE, FALSE)), {0,0,0,1})
)
/SUM(_xlfn._xlws.FILTER(_xlfn._xlws.FILTER(Courses!$B$2:$E$46, IF(NOT(ISERROR(SEARCH(LEFT(B24,FIND(" ",B24)-1), Courses!$B$2:$B$46, 1))), TRUE, FALSE)), {0,0,0,1})),
0.5)</f>
        <v>0</v>
      </c>
      <c r="D24" s="1" cm="1">
        <f t="array" ref="D24">SUM(
_xlfn._xlws.FILTER(
_xlfn._xlws.FILTER(Courses!$B$2:$E$46, IF(NOT(ISERROR(SEARCH(LEFT(B24,FIND(" ",B24)-1), Courses!$B$2:$B$46, 1))), TRUE, FALSE)),
{0,0,0,1})
)</f>
        <v>4</v>
      </c>
      <c r="E24" s="16" t="str" cm="1">
        <f t="array" ref="E24">_xlfn.XLOOKUP(1, --ISNUMBER(SEARCH(LEFT(B24,FIND(" ",B24)-1), Courses!$B$2:$B$46)), Courses!$M$2:$M$46, "no match")</f>
        <v>Minor</v>
      </c>
      <c r="F24" s="1" t="b" cm="1">
        <f t="array" ref="F24">AND(AND(_xlfn._xlws.FILTER(_xlfn._xlws.FILTER(Courses!$B$2:$N$46,IF(NOT(ISERROR(SEARCH(LEFT(B24,FIND(" ",B24)-1),Courses!$B$2:$B$46,1))),TRUE,FALSE)),{0,0,0,0,0,0,0,0,0,0,0,0,1})), C24&gt;5.99)</f>
        <v>0</v>
      </c>
      <c r="G24" s="1" cm="1">
        <f t="array" ref="G24">MROUND(SUMPRODUCT(
_xlfn._xlws.FILTER(_xlfn._xlws.FILTER(Courses!$B$2:$M$46, IF(NOT(ISERROR(SEARCH(LEFT(B24,FIND(" ",B24)-1), Courses!$B$2:$B$46, 1))), TRUE, FALSE)), {0,0,0,0,0,0,0,1,0,0,0,0}),
_xlfn._xlws.FILTER(_xlfn._xlws.FILTER(Courses!$B$2:$M$46, IF(NOT(ISERROR(SEARCH(LEFT(B24,FIND(" ",B24)-1), Courses!$B$2:$B$46, 1))), TRUE, FALSE)), {0,0,0,1,0,0,0,0,0,0,0,0}))
/SUM(_xlfn._xlws.FILTER(_xlfn._xlws.FILTER(Courses!$B$2:$M$46, IF(NOT(ISERROR(SEARCH(LEFT(B24,FIND(" ",B24)-1), Courses!$B$2:$B$46, 1))), TRUE, FALSE)), {0,0,0,1,0,0,0,0,0,0,0,0})), 0.5)</f>
        <v>9</v>
      </c>
      <c r="H24" s="1">
        <f t="shared" si="0"/>
        <v>0.19889502762430938</v>
      </c>
      <c r="I24" s="1" cm="1">
        <f t="array" ref="I24">MROUND(SUMPRODUCT(
_xlfn._xlws.FILTER(_xlfn._xlws.FILTER(Courses!$B$2:$M$46, IF(NOT(ISERROR(SEARCH(LEFT(B24,FIND(" ",B24)-1), Courses!$B$2:$B$46, 1))), TRUE, FALSE)), {0,0,0,0,0,0,0,0,0,1,0,0}),
_xlfn._xlws.FILTER(_xlfn._xlws.FILTER(Courses!$B$2:$M$46, IF(NOT(ISERROR(SEARCH(LEFT(B24,FIND(" ",B24)-1), Courses!$B$2:$B$46, 1))), TRUE, FALSE)), {0,0,0,1,0,0,0,0,0,0,0,0}))
/SUM(_xlfn._xlws.FILTER(_xlfn._xlws.FILTER(Courses!$B$2:$M$46, IF(NOT(ISERROR(SEARCH(LEFT(B24,FIND(" ",B24)-1), Courses!$B$2:$B$46, 1))), TRUE, FALSE)), {0,0,0,1,0,0,0,0,0,0,0,0})), 0.5)</f>
        <v>7</v>
      </c>
      <c r="J24" s="1">
        <f t="shared" si="1"/>
        <v>0.15469613259668508</v>
      </c>
    </row>
    <row r="25" spans="2:10" x14ac:dyDescent="0.25">
      <c r="B25" s="1" t="s">
        <v>0</v>
      </c>
      <c r="C25" s="19" cm="1">
        <f t="array" ref="C25">MROUND(
SUMPRODUCT(
_xlfn._xlws.FILTER(_xlfn._xlws.FILTER(Courses!$B$2:$E$46, IF(NOT(ISERROR(SEARCH(LEFT(B25,FIND(" ",B25)-1), Courses!$B$2:$B$46, 1))), TRUE, FALSE)), {0,0,1,0}),
_xlfn._xlws.FILTER(_xlfn._xlws.FILTER(Courses!$B$2:$E$46, IF(NOT(ISERROR(SEARCH(LEFT(B25,FIND(" ",B25)-1), Courses!$B$2:$B$46, 1))), TRUE, FALSE)), {0,0,0,1})
)
/SUM(_xlfn._xlws.FILTER(_xlfn._xlws.FILTER(Courses!$B$2:$E$46, IF(NOT(ISERROR(SEARCH(LEFT(B25,FIND(" ",B25)-1), Courses!$B$2:$B$46, 1))), TRUE, FALSE)), {0,0,0,1})),
0.5)</f>
        <v>0</v>
      </c>
      <c r="D25" s="1" cm="1">
        <f t="array" ref="D25">SUM(
_xlfn._xlws.FILTER(
_xlfn._xlws.FILTER(Courses!$B$2:$E$46, IF(NOT(ISERROR(SEARCH(LEFT(B25,FIND(" ",B25)-1), Courses!$B$2:$B$46, 1))), TRUE, FALSE)),
{0,0,0,1})
)</f>
        <v>15</v>
      </c>
      <c r="E25" s="16" t="str" cm="1">
        <f t="array" ref="E25">_xlfn.XLOOKUP(1, --ISNUMBER(SEARCH(LEFT(B25,FIND(" ",B25)-1), Courses!$B$2:$B$46)), Courses!$M$2:$M$46, "no match")</f>
        <v>Minor</v>
      </c>
      <c r="F25" s="1" t="b" cm="1">
        <f t="array" ref="F25">AND(AND(_xlfn._xlws.FILTER(_xlfn._xlws.FILTER(Courses!$B$2:$N$46,IF(NOT(ISERROR(SEARCH(LEFT(B25,FIND(" ",B25)-1),Courses!$B$2:$B$46,1))),TRUE,FALSE)),{0,0,0,0,0,0,0,0,0,0,0,0,1})), C25&gt;5.99)</f>
        <v>0</v>
      </c>
      <c r="G25" s="1" cm="1">
        <f t="array" ref="G25">MROUND(SUMPRODUCT(
_xlfn._xlws.FILTER(_xlfn._xlws.FILTER(Courses!$B$2:$M$46, IF(NOT(ISERROR(SEARCH(LEFT(B25,FIND(" ",B25)-1), Courses!$B$2:$B$46, 1))), TRUE, FALSE)), {0,0,0,0,0,0,0,1,0,0,0,0}),
_xlfn._xlws.FILTER(_xlfn._xlws.FILTER(Courses!$B$2:$M$46, IF(NOT(ISERROR(SEARCH(LEFT(B25,FIND(" ",B25)-1), Courses!$B$2:$B$46, 1))), TRUE, FALSE)), {0,0,0,1,0,0,0,0,0,0,0,0}))
/SUM(_xlfn._xlws.FILTER(_xlfn._xlws.FILTER(Courses!$B$2:$M$46, IF(NOT(ISERROR(SEARCH(LEFT(B25,FIND(" ",B25)-1), Courses!$B$2:$B$46, 1))), TRUE, FALSE)), {0,0,0,1,0,0,0,0,0,0,0,0})), 0.5)</f>
        <v>9</v>
      </c>
      <c r="H25" s="1">
        <f t="shared" si="0"/>
        <v>0.7458563535911602</v>
      </c>
      <c r="I25" s="1" cm="1">
        <f t="array" ref="I25">MROUND(SUMPRODUCT(
_xlfn._xlws.FILTER(_xlfn._xlws.FILTER(Courses!$B$2:$M$46, IF(NOT(ISERROR(SEARCH(LEFT(B25,FIND(" ",B25)-1), Courses!$B$2:$B$46, 1))), TRUE, FALSE)), {0,0,0,0,0,0,0,0,0,1,0,0}),
_xlfn._xlws.FILTER(_xlfn._xlws.FILTER(Courses!$B$2:$M$46, IF(NOT(ISERROR(SEARCH(LEFT(B25,FIND(" ",B25)-1), Courses!$B$2:$B$46, 1))), TRUE, FALSE)), {0,0,0,1,0,0,0,0,0,0,0,0}))
/SUM(_xlfn._xlws.FILTER(_xlfn._xlws.FILTER(Courses!$B$2:$M$46, IF(NOT(ISERROR(SEARCH(LEFT(B25,FIND(" ",B25)-1), Courses!$B$2:$B$46, 1))), TRUE, FALSE)), {0,0,0,1,0,0,0,0,0,0,0,0})), 0.5)</f>
        <v>7</v>
      </c>
      <c r="J25" s="1">
        <f t="shared" si="1"/>
        <v>0.58011049723756902</v>
      </c>
    </row>
    <row r="26" spans="2:10" x14ac:dyDescent="0.25">
      <c r="B26" s="1" t="s">
        <v>24</v>
      </c>
      <c r="C26" s="19" cm="1">
        <f t="array" ref="C26">MROUND(
SUMPRODUCT(
_xlfn._xlws.FILTER(_xlfn._xlws.FILTER(Courses!$B$2:$E$46, IF(NOT(ISERROR(SEARCH(LEFT(B26,FIND(" ",B26)-1), Courses!$B$2:$B$46, 1))), TRUE, FALSE)), {0,0,1,0}),
_xlfn._xlws.FILTER(_xlfn._xlws.FILTER(Courses!$B$2:$E$46, IF(NOT(ISERROR(SEARCH(LEFT(B26,FIND(" ",B26)-1), Courses!$B$2:$B$46, 1))), TRUE, FALSE)), {0,0,0,1})
)
/SUM(_xlfn._xlws.FILTER(_xlfn._xlws.FILTER(Courses!$B$2:$E$46, IF(NOT(ISERROR(SEARCH(LEFT(B26,FIND(" ",B26)-1), Courses!$B$2:$B$46, 1))), TRUE, FALSE)), {0,0,0,1})),
0.5)</f>
        <v>0</v>
      </c>
      <c r="D26" s="1" cm="1">
        <f t="array" ref="D26">SUM(
_xlfn._xlws.FILTER(
_xlfn._xlws.FILTER(Courses!$B$2:$E$46, IF(NOT(ISERROR(SEARCH(LEFT(B26,FIND(" ",B26)-1), Courses!$B$2:$B$46, 1))), TRUE, FALSE)),
{0,0,0,1})
)</f>
        <v>1</v>
      </c>
      <c r="E26" s="16" t="str" cm="1">
        <f t="array" ref="E26">_xlfn.XLOOKUP(1, --ISNUMBER(SEARCH(LEFT(B26,FIND(" ",B26)-1), Courses!$B$2:$B$46)), Courses!$M$2:$M$46, "no match")</f>
        <v>Minor</v>
      </c>
      <c r="F26" s="1" t="b" cm="1">
        <f t="array" ref="F26">AND(AND(_xlfn._xlws.FILTER(_xlfn._xlws.FILTER(Courses!$B$2:$N$46,IF(NOT(ISERROR(SEARCH(LEFT(B26,FIND(" ",B26)-1),Courses!$B$2:$B$46,1))),TRUE,FALSE)),{0,0,0,0,0,0,0,0,0,0,0,0,1})), C26&gt;5.99)</f>
        <v>0</v>
      </c>
      <c r="G26" s="1" cm="1">
        <f t="array" ref="G26">MROUND(SUMPRODUCT(
_xlfn._xlws.FILTER(_xlfn._xlws.FILTER(Courses!$B$2:$M$46, IF(NOT(ISERROR(SEARCH(LEFT(B26,FIND(" ",B26)-1), Courses!$B$2:$B$46, 1))), TRUE, FALSE)), {0,0,0,0,0,0,0,1,0,0,0,0}),
_xlfn._xlws.FILTER(_xlfn._xlws.FILTER(Courses!$B$2:$M$46, IF(NOT(ISERROR(SEARCH(LEFT(B26,FIND(" ",B26)-1), Courses!$B$2:$B$46, 1))), TRUE, FALSE)), {0,0,0,1,0,0,0,0,0,0,0,0}))
/SUM(_xlfn._xlws.FILTER(_xlfn._xlws.FILTER(Courses!$B$2:$M$46, IF(NOT(ISERROR(SEARCH(LEFT(B26,FIND(" ",B26)-1), Courses!$B$2:$B$46, 1))), TRUE, FALSE)), {0,0,0,1,0,0,0,0,0,0,0,0})), 0.5)</f>
        <v>9</v>
      </c>
      <c r="H26" s="1">
        <f t="shared" si="0"/>
        <v>4.9723756906077346E-2</v>
      </c>
      <c r="I26" s="1" cm="1">
        <f t="array" ref="I26">MROUND(SUMPRODUCT(
_xlfn._xlws.FILTER(_xlfn._xlws.FILTER(Courses!$B$2:$M$46, IF(NOT(ISERROR(SEARCH(LEFT(B26,FIND(" ",B26)-1), Courses!$B$2:$B$46, 1))), TRUE, FALSE)), {0,0,0,0,0,0,0,0,0,1,0,0}),
_xlfn._xlws.FILTER(_xlfn._xlws.FILTER(Courses!$B$2:$M$46, IF(NOT(ISERROR(SEARCH(LEFT(B26,FIND(" ",B26)-1), Courses!$B$2:$B$46, 1))), TRUE, FALSE)), {0,0,0,1,0,0,0,0,0,0,0,0}))
/SUM(_xlfn._xlws.FILTER(_xlfn._xlws.FILTER(Courses!$B$2:$M$46, IF(NOT(ISERROR(SEARCH(LEFT(B26,FIND(" ",B26)-1), Courses!$B$2:$B$46, 1))), TRUE, FALSE)), {0,0,0,1,0,0,0,0,0,0,0,0})), 0.5)</f>
        <v>7</v>
      </c>
      <c r="J26" s="1">
        <f t="shared" si="1"/>
        <v>3.8674033149171269E-2</v>
      </c>
    </row>
    <row r="27" spans="2:10" x14ac:dyDescent="0.25">
      <c r="B27" s="1" t="s">
        <v>16</v>
      </c>
      <c r="C27" s="19" cm="1">
        <f t="array" ref="C27">MROUND(
SUMPRODUCT(
_xlfn._xlws.FILTER(_xlfn._xlws.FILTER(Courses!$B$2:$E$46, IF(NOT(ISERROR(SEARCH(LEFT(B27,FIND(" ",B27)-1), Courses!$B$2:$B$46, 1))), TRUE, FALSE)), {0,0,1,0}),
_xlfn._xlws.FILTER(_xlfn._xlws.FILTER(Courses!$B$2:$E$46, IF(NOT(ISERROR(SEARCH(LEFT(B27,FIND(" ",B27)-1), Courses!$B$2:$B$46, 1))), TRUE, FALSE)), {0,0,0,1})
)
/SUM(_xlfn._xlws.FILTER(_xlfn._xlws.FILTER(Courses!$B$2:$E$46, IF(NOT(ISERROR(SEARCH(LEFT(B27,FIND(" ",B27)-1), Courses!$B$2:$B$46, 1))), TRUE, FALSE)), {0,0,0,1})),
0.5)</f>
        <v>0</v>
      </c>
      <c r="D27" s="1" cm="1">
        <f t="array" ref="D27">SUM(
_xlfn._xlws.FILTER(
_xlfn._xlws.FILTER(Courses!$B$2:$E$46, IF(NOT(ISERROR(SEARCH(LEFT(B27,FIND(" ",B27)-1), Courses!$B$2:$B$46, 1))), TRUE, FALSE)),
{0,0,0,1})
)</f>
        <v>5</v>
      </c>
      <c r="E27" s="16" t="str" cm="1">
        <f t="array" ref="E27">_xlfn.XLOOKUP(1, --ISNUMBER(SEARCH(LEFT(B27,FIND(" ",B27)-1), Courses!$B$2:$B$46)), Courses!$M$2:$M$46, "no match")</f>
        <v>Minor</v>
      </c>
      <c r="F27" s="1" t="b" cm="1">
        <f t="array" ref="F27">AND(AND(_xlfn._xlws.FILTER(_xlfn._xlws.FILTER(Courses!$B$2:$N$46,IF(NOT(ISERROR(SEARCH(LEFT(B27,FIND(" ",B27)-1),Courses!$B$2:$B$46,1))),TRUE,FALSE)),{0,0,0,0,0,0,0,0,0,0,0,0,1})), C27&gt;5.99)</f>
        <v>0</v>
      </c>
      <c r="G27" s="1" cm="1">
        <f t="array" ref="G27">MROUND(SUMPRODUCT(
_xlfn._xlws.FILTER(_xlfn._xlws.FILTER(Courses!$B$2:$M$46, IF(NOT(ISERROR(SEARCH(LEFT(B27,FIND(" ",B27)-1), Courses!$B$2:$B$46, 1))), TRUE, FALSE)), {0,0,0,0,0,0,0,1,0,0,0,0}),
_xlfn._xlws.FILTER(_xlfn._xlws.FILTER(Courses!$B$2:$M$46, IF(NOT(ISERROR(SEARCH(LEFT(B27,FIND(" ",B27)-1), Courses!$B$2:$B$46, 1))), TRUE, FALSE)), {0,0,0,1,0,0,0,0,0,0,0,0}))
/SUM(_xlfn._xlws.FILTER(_xlfn._xlws.FILTER(Courses!$B$2:$M$46, IF(NOT(ISERROR(SEARCH(LEFT(B27,FIND(" ",B27)-1), Courses!$B$2:$B$46, 1))), TRUE, FALSE)), {0,0,0,1,0,0,0,0,0,0,0,0})), 0.5)</f>
        <v>9</v>
      </c>
      <c r="H27" s="1">
        <f t="shared" si="0"/>
        <v>0.24861878453038674</v>
      </c>
      <c r="I27" s="1" cm="1">
        <f t="array" ref="I27">MROUND(SUMPRODUCT(
_xlfn._xlws.FILTER(_xlfn._xlws.FILTER(Courses!$B$2:$M$46, IF(NOT(ISERROR(SEARCH(LEFT(B27,FIND(" ",B27)-1), Courses!$B$2:$B$46, 1))), TRUE, FALSE)), {0,0,0,0,0,0,0,0,0,1,0,0}),
_xlfn._xlws.FILTER(_xlfn._xlws.FILTER(Courses!$B$2:$M$46, IF(NOT(ISERROR(SEARCH(LEFT(B27,FIND(" ",B27)-1), Courses!$B$2:$B$46, 1))), TRUE, FALSE)), {0,0,0,1,0,0,0,0,0,0,0,0}))
/SUM(_xlfn._xlws.FILTER(_xlfn._xlws.FILTER(Courses!$B$2:$M$46, IF(NOT(ISERROR(SEARCH(LEFT(B27,FIND(" ",B27)-1), Courses!$B$2:$B$46, 1))), TRUE, FALSE)), {0,0,0,1,0,0,0,0,0,0,0,0})), 0.5)</f>
        <v>7</v>
      </c>
      <c r="J27" s="1">
        <f t="shared" si="1"/>
        <v>0.19337016574585636</v>
      </c>
    </row>
    <row r="28" spans="2:10" x14ac:dyDescent="0.25">
      <c r="B28" s="1" t="s">
        <v>21</v>
      </c>
      <c r="C28" s="19" cm="1">
        <f t="array" ref="C28">MROUND(
SUMPRODUCT(
_xlfn._xlws.FILTER(_xlfn._xlws.FILTER(Courses!$B$2:$E$46, IF(NOT(ISERROR(SEARCH(LEFT(B28,FIND(" ",B28)-1), Courses!$B$2:$B$46, 1))), TRUE, FALSE)), {0,0,1,0}),
_xlfn._xlws.FILTER(_xlfn._xlws.FILTER(Courses!$B$2:$E$46, IF(NOT(ISERROR(SEARCH(LEFT(B28,FIND(" ",B28)-1), Courses!$B$2:$B$46, 1))), TRUE, FALSE)), {0,0,0,1})
)
/SUM(_xlfn._xlws.FILTER(_xlfn._xlws.FILTER(Courses!$B$2:$E$46, IF(NOT(ISERROR(SEARCH(LEFT(B28,FIND(" ",B28)-1), Courses!$B$2:$B$46, 1))), TRUE, FALSE)), {0,0,0,1})),
0.5)</f>
        <v>0</v>
      </c>
      <c r="D28" s="1" cm="1">
        <f t="array" ref="D28">SUM(
_xlfn._xlws.FILTER(
_xlfn._xlws.FILTER(Courses!$B$2:$E$46, IF(NOT(ISERROR(SEARCH(LEFT(B28,FIND(" ",B28)-1), Courses!$B$2:$B$46, 1))), TRUE, FALSE)),
{0,0,0,1})
)</f>
        <v>3</v>
      </c>
      <c r="E28" s="16" t="str" cm="1">
        <f t="array" ref="E28">_xlfn.XLOOKUP(1, --ISNUMBER(SEARCH(LEFT(B28,FIND(" ",B28)-1), Courses!$B$2:$B$46)), Courses!$M$2:$M$46, "no match")</f>
        <v>Minor</v>
      </c>
      <c r="F28" s="1" t="b" cm="1">
        <f t="array" ref="F28">AND(AND(_xlfn._xlws.FILTER(_xlfn._xlws.FILTER(Courses!$B$2:$N$46,IF(NOT(ISERROR(SEARCH(LEFT(B28,FIND(" ",B28)-1),Courses!$B$2:$B$46,1))),TRUE,FALSE)),{0,0,0,0,0,0,0,0,0,0,0,0,1})), C28&gt;5.99)</f>
        <v>0</v>
      </c>
      <c r="G28" s="1" cm="1">
        <f t="array" ref="G28">MROUND(SUMPRODUCT(
_xlfn._xlws.FILTER(_xlfn._xlws.FILTER(Courses!$B$2:$M$46, IF(NOT(ISERROR(SEARCH(LEFT(B28,FIND(" ",B28)-1), Courses!$B$2:$B$46, 1))), TRUE, FALSE)), {0,0,0,0,0,0,0,1,0,0,0,0}),
_xlfn._xlws.FILTER(_xlfn._xlws.FILTER(Courses!$B$2:$M$46, IF(NOT(ISERROR(SEARCH(LEFT(B28,FIND(" ",B28)-1), Courses!$B$2:$B$46, 1))), TRUE, FALSE)), {0,0,0,1,0,0,0,0,0,0,0,0}))
/SUM(_xlfn._xlws.FILTER(_xlfn._xlws.FILTER(Courses!$B$2:$M$46, IF(NOT(ISERROR(SEARCH(LEFT(B28,FIND(" ",B28)-1), Courses!$B$2:$B$46, 1))), TRUE, FALSE)), {0,0,0,1,0,0,0,0,0,0,0,0})), 0.5)</f>
        <v>9</v>
      </c>
      <c r="H28" s="1">
        <f t="shared" si="0"/>
        <v>0.14917127071823205</v>
      </c>
      <c r="I28" s="1" cm="1">
        <f t="array" ref="I28">MROUND(SUMPRODUCT(
_xlfn._xlws.FILTER(_xlfn._xlws.FILTER(Courses!$B$2:$M$46, IF(NOT(ISERROR(SEARCH(LEFT(B28,FIND(" ",B28)-1), Courses!$B$2:$B$46, 1))), TRUE, FALSE)), {0,0,0,0,0,0,0,0,0,1,0,0}),
_xlfn._xlws.FILTER(_xlfn._xlws.FILTER(Courses!$B$2:$M$46, IF(NOT(ISERROR(SEARCH(LEFT(B28,FIND(" ",B28)-1), Courses!$B$2:$B$46, 1))), TRUE, FALSE)), {0,0,0,1,0,0,0,0,0,0,0,0}))
/SUM(_xlfn._xlws.FILTER(_xlfn._xlws.FILTER(Courses!$B$2:$M$46, IF(NOT(ISERROR(SEARCH(LEFT(B28,FIND(" ",B28)-1), Courses!$B$2:$B$46, 1))), TRUE, FALSE)), {0,0,0,1,0,0,0,0,0,0,0,0})), 0.5)</f>
        <v>7</v>
      </c>
      <c r="J28" s="1">
        <f t="shared" si="1"/>
        <v>0.11602209944751381</v>
      </c>
    </row>
  </sheetData>
  <sortState xmlns:xlrd2="http://schemas.microsoft.com/office/spreadsheetml/2017/richdata2" ref="B2:J28">
    <sortCondition ref="E2:E28"/>
  </sortState>
  <conditionalFormatting sqref="E2:E28">
    <cfRule type="expression" dxfId="17" priority="4">
      <formula>$E2="Minor"</formula>
    </cfRule>
    <cfRule type="expression" dxfId="16" priority="5">
      <formula>$E2=1</formula>
    </cfRule>
    <cfRule type="expression" dxfId="15" priority="6">
      <formula>$E2=2</formula>
    </cfRule>
    <cfRule type="expression" dxfId="14" priority="7">
      <formula>$E2=3</formula>
    </cfRule>
  </conditionalFormatting>
  <conditionalFormatting sqref="F2:F28">
    <cfRule type="expression" dxfId="13" priority="2">
      <formula>F2=FALSE</formula>
    </cfRule>
    <cfRule type="expression" dxfId="12" priority="3">
      <formula>F2=TRUE</formula>
    </cfRule>
  </conditionalFormatting>
  <conditionalFormatting sqref="B2:C28">
    <cfRule type="expression" dxfId="11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6"/>
  <sheetViews>
    <sheetView zoomScaleNormal="100" workbookViewId="0">
      <selection activeCell="D6" sqref="D6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6" customWidth="1"/>
    <col min="7" max="7" width="8.625" style="1" customWidth="1"/>
    <col min="8" max="8" width="17.5" style="1" customWidth="1"/>
    <col min="9" max="9" width="26.75" style="1" customWidth="1"/>
    <col min="10" max="11" width="17.5" style="1" customWidth="1"/>
    <col min="12" max="12" width="12.5" style="1" customWidth="1"/>
    <col min="13" max="13" width="11.875" style="1" customWidth="1"/>
    <col min="14" max="14" width="10.125" style="1" customWidth="1"/>
    <col min="15" max="16384" width="9" style="1"/>
  </cols>
  <sheetData>
    <row r="1" spans="1:14" x14ac:dyDescent="0.25">
      <c r="B1" s="4" t="s">
        <v>69</v>
      </c>
      <c r="C1" s="35" t="s">
        <v>60</v>
      </c>
      <c r="D1" s="35" t="s">
        <v>61</v>
      </c>
      <c r="E1" s="35" t="s">
        <v>26</v>
      </c>
      <c r="F1" s="35" t="s">
        <v>27</v>
      </c>
      <c r="G1" s="35" t="s">
        <v>70</v>
      </c>
      <c r="H1" s="35" t="s">
        <v>73</v>
      </c>
      <c r="I1" s="35" t="s">
        <v>96</v>
      </c>
      <c r="J1" s="35" t="s">
        <v>72</v>
      </c>
      <c r="K1" s="35" t="s">
        <v>74</v>
      </c>
      <c r="L1" s="35" t="s">
        <v>84</v>
      </c>
      <c r="M1" s="35" t="s">
        <v>62</v>
      </c>
      <c r="N1" s="35" t="s">
        <v>83</v>
      </c>
    </row>
    <row r="2" spans="1:14" x14ac:dyDescent="0.25">
      <c r="A2" s="27"/>
      <c r="B2" s="17" t="s">
        <v>19</v>
      </c>
      <c r="C2" s="37">
        <v>4</v>
      </c>
      <c r="D2">
        <v>9</v>
      </c>
      <c r="E2" s="37">
        <v>5</v>
      </c>
      <c r="F2" s="36" t="str">
        <f t="shared" ref="F2:F46" si="0">IF(OR(D2&lt;5,ISBLANK(D2)),"Pending","Definitive")</f>
        <v>Definitive</v>
      </c>
      <c r="G2" s="38"/>
      <c r="H2" s="39">
        <v>7</v>
      </c>
      <c r="I2" s="37">
        <f t="shared" ref="I2:I46" si="1">IF(NOT(ISBLANK(D2)), IF(G2=1, H2, D2), H2)</f>
        <v>9</v>
      </c>
      <c r="J2" s="39">
        <v>7</v>
      </c>
      <c r="K2" s="37">
        <f t="shared" ref="K2:K46" si="2">IF(NOT(ISBLANK(D2)), IF(G2=1, J2, D2), J2)</f>
        <v>9</v>
      </c>
      <c r="L2" s="37">
        <f>IF(OR(G2&gt;0, ISBLANK(D2)), E2*'Dashboard - Exams'!$G$6*K2/10, 0)</f>
        <v>0</v>
      </c>
      <c r="M2" s="28">
        <v>1</v>
      </c>
      <c r="N2" s="17" t="b">
        <f t="shared" ref="N2:N46" si="3">IF(D2&gt;4.99, TRUE, FALSE)</f>
        <v>1</v>
      </c>
    </row>
    <row r="3" spans="1:14" x14ac:dyDescent="0.25">
      <c r="A3" s="27"/>
      <c r="B3" s="17" t="s">
        <v>54</v>
      </c>
      <c r="C3" s="37">
        <v>3</v>
      </c>
      <c r="D3">
        <v>3</v>
      </c>
      <c r="E3" s="37">
        <v>3</v>
      </c>
      <c r="F3" s="36" t="str">
        <f t="shared" si="0"/>
        <v>Pending</v>
      </c>
      <c r="G3" s="38"/>
      <c r="H3" s="39">
        <v>9</v>
      </c>
      <c r="I3" s="37">
        <f t="shared" si="1"/>
        <v>3</v>
      </c>
      <c r="J3" s="39">
        <v>7</v>
      </c>
      <c r="K3" s="37">
        <f t="shared" si="2"/>
        <v>3</v>
      </c>
      <c r="L3" s="37">
        <f>IF(OR(G3&gt;0, ISBLANK(D3)), E3*'Dashboard - Exams'!$G$6*K3/10, 0)</f>
        <v>0</v>
      </c>
      <c r="M3" s="28">
        <v>1</v>
      </c>
      <c r="N3" s="17" t="b">
        <f t="shared" si="3"/>
        <v>0</v>
      </c>
    </row>
    <row r="4" spans="1:14" x14ac:dyDescent="0.25">
      <c r="A4" s="27"/>
      <c r="B4" s="17" t="s">
        <v>58</v>
      </c>
      <c r="C4" s="37">
        <v>4</v>
      </c>
      <c r="D4">
        <v>3</v>
      </c>
      <c r="E4" s="37">
        <v>3</v>
      </c>
      <c r="F4" s="36" t="str">
        <f t="shared" si="0"/>
        <v>Pending</v>
      </c>
      <c r="G4" s="38">
        <v>1</v>
      </c>
      <c r="H4" s="39">
        <v>9</v>
      </c>
      <c r="I4" s="37">
        <f t="shared" si="1"/>
        <v>9</v>
      </c>
      <c r="J4" s="39">
        <v>7</v>
      </c>
      <c r="K4" s="37">
        <f t="shared" si="2"/>
        <v>7</v>
      </c>
      <c r="L4" s="37">
        <f>IF(OR(G4&gt;0, ISBLANK(D4)), E4*'Dashboard - Exams'!$G$6*K4/10, 0)</f>
        <v>58.8</v>
      </c>
      <c r="M4" s="28">
        <v>1</v>
      </c>
      <c r="N4" s="17" t="b">
        <f t="shared" si="3"/>
        <v>0</v>
      </c>
    </row>
    <row r="5" spans="1:14" x14ac:dyDescent="0.25">
      <c r="A5" s="27"/>
      <c r="B5" s="17" t="s">
        <v>57</v>
      </c>
      <c r="C5" s="37">
        <v>4</v>
      </c>
      <c r="D5"/>
      <c r="E5" s="37">
        <v>3</v>
      </c>
      <c r="F5" s="36" t="str">
        <f t="shared" si="0"/>
        <v>Pending</v>
      </c>
      <c r="G5" s="38"/>
      <c r="H5" s="39">
        <v>9</v>
      </c>
      <c r="I5" s="37">
        <f t="shared" si="1"/>
        <v>9</v>
      </c>
      <c r="J5" s="39">
        <v>7</v>
      </c>
      <c r="K5" s="37">
        <f t="shared" si="2"/>
        <v>7</v>
      </c>
      <c r="L5" s="37">
        <f>IF(OR(G5&gt;0, ISBLANK(D5)), E5*'Dashboard - Exams'!$G$6*K5/10, 0)</f>
        <v>58.8</v>
      </c>
      <c r="M5" s="28">
        <v>1</v>
      </c>
      <c r="N5" s="17" t="b">
        <f t="shared" si="3"/>
        <v>0</v>
      </c>
    </row>
    <row r="6" spans="1:14" x14ac:dyDescent="0.25">
      <c r="A6" s="27"/>
      <c r="B6" s="17" t="s">
        <v>23</v>
      </c>
      <c r="C6" s="37">
        <v>4</v>
      </c>
      <c r="D6"/>
      <c r="E6" s="37">
        <v>2</v>
      </c>
      <c r="F6" s="36" t="str">
        <f t="shared" si="0"/>
        <v>Pending</v>
      </c>
      <c r="G6" s="38"/>
      <c r="H6" s="39">
        <v>9</v>
      </c>
      <c r="I6" s="37">
        <f t="shared" si="1"/>
        <v>9</v>
      </c>
      <c r="J6" s="39">
        <v>7</v>
      </c>
      <c r="K6" s="37">
        <f t="shared" si="2"/>
        <v>7</v>
      </c>
      <c r="L6" s="37">
        <f>IF(OR(G6&gt;0, ISBLANK(D6)), E6*'Dashboard - Exams'!$G$6*K6/10, 0)</f>
        <v>39.200000000000003</v>
      </c>
      <c r="M6" s="28">
        <v>1</v>
      </c>
      <c r="N6" s="17" t="b">
        <f t="shared" si="3"/>
        <v>0</v>
      </c>
    </row>
    <row r="7" spans="1:14" x14ac:dyDescent="0.25">
      <c r="A7" s="27"/>
      <c r="B7" s="17" t="s">
        <v>65</v>
      </c>
      <c r="C7" s="37">
        <v>3</v>
      </c>
      <c r="D7">
        <v>6</v>
      </c>
      <c r="E7" s="37">
        <v>5</v>
      </c>
      <c r="F7" s="36" t="str">
        <f t="shared" si="0"/>
        <v>Definitive</v>
      </c>
      <c r="G7" s="38">
        <v>1</v>
      </c>
      <c r="H7" s="39">
        <v>9</v>
      </c>
      <c r="I7" s="37">
        <f t="shared" si="1"/>
        <v>9</v>
      </c>
      <c r="J7" s="39">
        <v>7</v>
      </c>
      <c r="K7" s="37">
        <f t="shared" si="2"/>
        <v>7</v>
      </c>
      <c r="L7" s="37">
        <f>IF(OR(G7&gt;0, ISBLANK(D7)), E7*'Dashboard - Exams'!$G$6*K7/10, 0)</f>
        <v>98</v>
      </c>
      <c r="M7" s="28">
        <v>1</v>
      </c>
      <c r="N7" s="17" t="b">
        <f t="shared" si="3"/>
        <v>1</v>
      </c>
    </row>
    <row r="8" spans="1:14" x14ac:dyDescent="0.25">
      <c r="A8" s="27"/>
      <c r="B8" s="17" t="s">
        <v>56</v>
      </c>
      <c r="C8" s="37">
        <v>3</v>
      </c>
      <c r="D8"/>
      <c r="E8" s="37">
        <v>4</v>
      </c>
      <c r="F8" s="36" t="str">
        <f t="shared" si="0"/>
        <v>Pending</v>
      </c>
      <c r="G8" s="38"/>
      <c r="H8" s="39">
        <v>9</v>
      </c>
      <c r="I8" s="37">
        <f t="shared" si="1"/>
        <v>9</v>
      </c>
      <c r="J8" s="39">
        <v>7</v>
      </c>
      <c r="K8" s="37">
        <f t="shared" si="2"/>
        <v>7</v>
      </c>
      <c r="L8" s="37">
        <f>IF(OR(G8&gt;0, ISBLANK(D8)), E8*'Dashboard - Exams'!$G$6*K8/10, 0)</f>
        <v>78.400000000000006</v>
      </c>
      <c r="M8" s="28">
        <v>1</v>
      </c>
      <c r="N8" s="17" t="b">
        <f t="shared" si="3"/>
        <v>0</v>
      </c>
    </row>
    <row r="9" spans="1:14" x14ac:dyDescent="0.25">
      <c r="A9" s="27"/>
      <c r="B9" s="17" t="s">
        <v>55</v>
      </c>
      <c r="C9" s="37">
        <v>3</v>
      </c>
      <c r="D9"/>
      <c r="E9" s="37">
        <v>5</v>
      </c>
      <c r="F9" s="36" t="str">
        <f t="shared" si="0"/>
        <v>Pending</v>
      </c>
      <c r="G9" s="38"/>
      <c r="H9" s="39">
        <v>9</v>
      </c>
      <c r="I9" s="37">
        <f t="shared" si="1"/>
        <v>9</v>
      </c>
      <c r="J9" s="39">
        <v>7</v>
      </c>
      <c r="K9" s="37">
        <f t="shared" si="2"/>
        <v>7</v>
      </c>
      <c r="L9" s="37">
        <f>IF(OR(G9&gt;0, ISBLANK(D9)), E9*'Dashboard - Exams'!$G$6*K9/10, 0)</f>
        <v>98</v>
      </c>
      <c r="M9" s="28">
        <v>1</v>
      </c>
      <c r="N9" s="17" t="b">
        <f t="shared" si="3"/>
        <v>0</v>
      </c>
    </row>
    <row r="10" spans="1:14" x14ac:dyDescent="0.25">
      <c r="A10" s="27"/>
      <c r="B10" s="17" t="s">
        <v>52</v>
      </c>
      <c r="C10" s="37">
        <v>2</v>
      </c>
      <c r="D10"/>
      <c r="E10" s="37">
        <v>4</v>
      </c>
      <c r="F10" s="36" t="str">
        <f t="shared" si="0"/>
        <v>Pending</v>
      </c>
      <c r="G10" s="38"/>
      <c r="H10" s="39">
        <v>9</v>
      </c>
      <c r="I10" s="37">
        <f t="shared" si="1"/>
        <v>9</v>
      </c>
      <c r="J10" s="39">
        <v>7</v>
      </c>
      <c r="K10" s="37">
        <f t="shared" si="2"/>
        <v>7</v>
      </c>
      <c r="L10" s="37">
        <f>IF(OR(G10&gt;0, ISBLANK(D10)), E10*'Dashboard - Exams'!$G$6*K10/10, 0)</f>
        <v>78.400000000000006</v>
      </c>
      <c r="M10" s="28">
        <v>1</v>
      </c>
      <c r="N10" s="17" t="b">
        <f t="shared" si="3"/>
        <v>0</v>
      </c>
    </row>
    <row r="11" spans="1:14" x14ac:dyDescent="0.25">
      <c r="A11" s="27"/>
      <c r="B11" s="17" t="s">
        <v>63</v>
      </c>
      <c r="C11" s="37">
        <v>2</v>
      </c>
      <c r="D11"/>
      <c r="E11" s="37">
        <v>3</v>
      </c>
      <c r="F11" s="36" t="str">
        <f t="shared" si="0"/>
        <v>Pending</v>
      </c>
      <c r="G11" s="38"/>
      <c r="H11" s="39">
        <v>9</v>
      </c>
      <c r="I11" s="37">
        <f t="shared" si="1"/>
        <v>9</v>
      </c>
      <c r="J11" s="39">
        <v>7</v>
      </c>
      <c r="K11" s="37">
        <f t="shared" si="2"/>
        <v>7</v>
      </c>
      <c r="L11" s="37">
        <f>IF(OR(G11&gt;0, ISBLANK(D11)), E11*'Dashboard - Exams'!$G$6*K11/10, 0)</f>
        <v>58.8</v>
      </c>
      <c r="M11" s="28">
        <v>1</v>
      </c>
      <c r="N11" s="17" t="b">
        <f t="shared" si="3"/>
        <v>0</v>
      </c>
    </row>
    <row r="12" spans="1:14" x14ac:dyDescent="0.25">
      <c r="A12" s="27"/>
      <c r="B12" s="17" t="s">
        <v>53</v>
      </c>
      <c r="C12" s="37">
        <v>2</v>
      </c>
      <c r="D12"/>
      <c r="E12" s="37">
        <v>3</v>
      </c>
      <c r="F12" s="36" t="str">
        <f t="shared" si="0"/>
        <v>Pending</v>
      </c>
      <c r="G12" s="38"/>
      <c r="H12" s="39">
        <v>9</v>
      </c>
      <c r="I12" s="37">
        <f t="shared" si="1"/>
        <v>9</v>
      </c>
      <c r="J12" s="39">
        <v>7</v>
      </c>
      <c r="K12" s="37">
        <f t="shared" si="2"/>
        <v>7</v>
      </c>
      <c r="L12" s="37">
        <f>IF(OR(G12&gt;0, ISBLANK(D12)), E12*'Dashboard - Exams'!$G$6*K12/10, 0)</f>
        <v>58.8</v>
      </c>
      <c r="M12" s="28">
        <v>1</v>
      </c>
      <c r="N12" s="17" t="b">
        <f t="shared" si="3"/>
        <v>0</v>
      </c>
    </row>
    <row r="13" spans="1:14" x14ac:dyDescent="0.25">
      <c r="A13" s="27"/>
      <c r="B13" s="17" t="s">
        <v>51</v>
      </c>
      <c r="C13" s="37">
        <v>2</v>
      </c>
      <c r="D13"/>
      <c r="E13" s="37">
        <v>3</v>
      </c>
      <c r="F13" s="36" t="str">
        <f t="shared" si="0"/>
        <v>Pending</v>
      </c>
      <c r="G13" s="38"/>
      <c r="H13" s="39">
        <v>9</v>
      </c>
      <c r="I13" s="37">
        <f t="shared" si="1"/>
        <v>9</v>
      </c>
      <c r="J13" s="39">
        <v>7</v>
      </c>
      <c r="K13" s="37">
        <f t="shared" si="2"/>
        <v>7</v>
      </c>
      <c r="L13" s="37">
        <f>IF(OR(G13&gt;0, ISBLANK(D13)), E13*'Dashboard - Exams'!$G$6*K13/10, 0)</f>
        <v>58.8</v>
      </c>
      <c r="M13" s="28">
        <v>1</v>
      </c>
      <c r="N13" s="17" t="b">
        <f t="shared" si="3"/>
        <v>0</v>
      </c>
    </row>
    <row r="14" spans="1:14" x14ac:dyDescent="0.25">
      <c r="A14" s="27"/>
      <c r="B14" s="17" t="s">
        <v>81</v>
      </c>
      <c r="C14" s="37">
        <v>1</v>
      </c>
      <c r="D14"/>
      <c r="E14" s="37">
        <v>5</v>
      </c>
      <c r="F14" s="36" t="str">
        <f t="shared" si="0"/>
        <v>Pending</v>
      </c>
      <c r="G14" s="38"/>
      <c r="H14" s="39">
        <v>9</v>
      </c>
      <c r="I14" s="37">
        <f t="shared" si="1"/>
        <v>9</v>
      </c>
      <c r="J14" s="39">
        <v>7</v>
      </c>
      <c r="K14" s="37">
        <f t="shared" si="2"/>
        <v>7</v>
      </c>
      <c r="L14" s="37">
        <f>IF(OR(G14&gt;0, ISBLANK(D14)), E14*'Dashboard - Exams'!$G$6*K14/10, 0)</f>
        <v>98</v>
      </c>
      <c r="M14" s="28">
        <v>1</v>
      </c>
      <c r="N14" s="17" t="b">
        <f t="shared" si="3"/>
        <v>0</v>
      </c>
    </row>
    <row r="15" spans="1:14" x14ac:dyDescent="0.25">
      <c r="A15" s="27"/>
      <c r="B15" s="17" t="s">
        <v>50</v>
      </c>
      <c r="C15" s="37">
        <v>1</v>
      </c>
      <c r="D15"/>
      <c r="E15" s="37">
        <v>4</v>
      </c>
      <c r="F15" s="36" t="str">
        <f t="shared" si="0"/>
        <v>Pending</v>
      </c>
      <c r="G15" s="38"/>
      <c r="H15" s="39">
        <v>9</v>
      </c>
      <c r="I15" s="37">
        <f t="shared" si="1"/>
        <v>9</v>
      </c>
      <c r="J15" s="39">
        <v>7</v>
      </c>
      <c r="K15" s="37">
        <f t="shared" si="2"/>
        <v>7</v>
      </c>
      <c r="L15" s="37">
        <f>IF(OR(G15&gt;0, ISBLANK(D15)), E15*'Dashboard - Exams'!$G$6*K15/10, 0)</f>
        <v>78.400000000000006</v>
      </c>
      <c r="M15" s="28">
        <v>1</v>
      </c>
      <c r="N15" s="17" t="b">
        <f t="shared" si="3"/>
        <v>0</v>
      </c>
    </row>
    <row r="16" spans="1:14" x14ac:dyDescent="0.25">
      <c r="A16" s="27"/>
      <c r="B16" s="17" t="s">
        <v>64</v>
      </c>
      <c r="C16" s="37">
        <v>1</v>
      </c>
      <c r="D16"/>
      <c r="E16" s="37">
        <v>3</v>
      </c>
      <c r="F16" s="36" t="str">
        <f t="shared" si="0"/>
        <v>Pending</v>
      </c>
      <c r="G16" s="38"/>
      <c r="H16" s="39">
        <v>9</v>
      </c>
      <c r="I16" s="37">
        <f t="shared" si="1"/>
        <v>9</v>
      </c>
      <c r="J16" s="39">
        <v>7</v>
      </c>
      <c r="K16" s="37">
        <f t="shared" si="2"/>
        <v>7</v>
      </c>
      <c r="L16" s="37">
        <f>IF(OR(G16&gt;0, ISBLANK(D16)), E16*'Dashboard - Exams'!$G$6*K16/10, 0)</f>
        <v>58.8</v>
      </c>
      <c r="M16" s="28">
        <v>1</v>
      </c>
      <c r="N16" s="17" t="b">
        <f t="shared" si="3"/>
        <v>0</v>
      </c>
    </row>
    <row r="17" spans="1:14" x14ac:dyDescent="0.25">
      <c r="A17" s="27"/>
      <c r="B17" s="17" t="s">
        <v>48</v>
      </c>
      <c r="C17" s="37">
        <v>1</v>
      </c>
      <c r="D17"/>
      <c r="E17" s="37">
        <v>3</v>
      </c>
      <c r="F17" s="36" t="str">
        <f t="shared" si="0"/>
        <v>Pending</v>
      </c>
      <c r="G17" s="38"/>
      <c r="H17" s="39">
        <v>9</v>
      </c>
      <c r="I17" s="37">
        <f t="shared" si="1"/>
        <v>9</v>
      </c>
      <c r="J17" s="39">
        <v>7</v>
      </c>
      <c r="K17" s="37">
        <f t="shared" si="2"/>
        <v>7</v>
      </c>
      <c r="L17" s="37">
        <f>IF(OR(G17&gt;0, ISBLANK(D17)), E17*'Dashboard - Exams'!$G$6*K17/10, 0)</f>
        <v>58.8</v>
      </c>
      <c r="M17" s="28">
        <v>1</v>
      </c>
      <c r="N17" s="17" t="b">
        <f t="shared" si="3"/>
        <v>0</v>
      </c>
    </row>
    <row r="18" spans="1:14" x14ac:dyDescent="0.25">
      <c r="A18" s="27"/>
      <c r="B18" s="17" t="s">
        <v>49</v>
      </c>
      <c r="C18" s="37">
        <v>1</v>
      </c>
      <c r="D18"/>
      <c r="E18" s="37">
        <v>2</v>
      </c>
      <c r="F18" s="36" t="str">
        <f t="shared" si="0"/>
        <v>Pending</v>
      </c>
      <c r="G18" s="38"/>
      <c r="H18" s="39">
        <v>9</v>
      </c>
      <c r="I18" s="37">
        <f t="shared" si="1"/>
        <v>9</v>
      </c>
      <c r="J18" s="39">
        <v>7</v>
      </c>
      <c r="K18" s="37">
        <f t="shared" si="2"/>
        <v>7</v>
      </c>
      <c r="L18" s="37">
        <f>IF(OR(G18&gt;0, ISBLANK(D18)), E18*'Dashboard - Exams'!$G$6*K18/10, 0)</f>
        <v>39.200000000000003</v>
      </c>
      <c r="M18" s="28">
        <v>1</v>
      </c>
      <c r="N18" s="17" t="b">
        <f t="shared" si="3"/>
        <v>0</v>
      </c>
    </row>
    <row r="19" spans="1:14" x14ac:dyDescent="0.25">
      <c r="A19" s="27"/>
      <c r="B19" s="17" t="s">
        <v>47</v>
      </c>
      <c r="C19" s="37">
        <v>4</v>
      </c>
      <c r="D19"/>
      <c r="E19" s="37">
        <v>3</v>
      </c>
      <c r="F19" s="36" t="str">
        <f t="shared" si="0"/>
        <v>Pending</v>
      </c>
      <c r="G19" s="38"/>
      <c r="H19" s="39">
        <v>9</v>
      </c>
      <c r="I19" s="37">
        <f t="shared" si="1"/>
        <v>9</v>
      </c>
      <c r="J19" s="39">
        <v>7</v>
      </c>
      <c r="K19" s="37">
        <f t="shared" si="2"/>
        <v>7</v>
      </c>
      <c r="L19" s="37">
        <f>IF(OR(G19&gt;0, ISBLANK(D19)), E19*'Dashboard - Exams'!$G$6*K19/10, 0)</f>
        <v>58.8</v>
      </c>
      <c r="M19" s="28">
        <v>2</v>
      </c>
      <c r="N19" s="17" t="b">
        <f t="shared" si="3"/>
        <v>0</v>
      </c>
    </row>
    <row r="20" spans="1:14" x14ac:dyDescent="0.25">
      <c r="A20" s="27"/>
      <c r="B20" s="18" t="s">
        <v>42</v>
      </c>
      <c r="C20" s="40">
        <v>4</v>
      </c>
      <c r="D20"/>
      <c r="E20" s="37">
        <v>4</v>
      </c>
      <c r="F20" s="36" t="str">
        <f t="shared" si="0"/>
        <v>Pending</v>
      </c>
      <c r="G20" s="38"/>
      <c r="H20" s="39">
        <v>9</v>
      </c>
      <c r="I20" s="37">
        <f t="shared" si="1"/>
        <v>9</v>
      </c>
      <c r="J20" s="39">
        <v>7</v>
      </c>
      <c r="K20" s="37">
        <f t="shared" si="2"/>
        <v>7</v>
      </c>
      <c r="L20" s="37">
        <f>IF(OR(G20&gt;0, ISBLANK(D20)), E20*'Dashboard - Exams'!$G$6*K20/10, 0)</f>
        <v>78.400000000000006</v>
      </c>
      <c r="M20" s="28">
        <v>2</v>
      </c>
      <c r="N20" s="17" t="b">
        <f t="shared" si="3"/>
        <v>0</v>
      </c>
    </row>
    <row r="21" spans="1:14" x14ac:dyDescent="0.25">
      <c r="A21" s="27"/>
      <c r="B21" s="17" t="s">
        <v>46</v>
      </c>
      <c r="C21" s="37">
        <v>4</v>
      </c>
      <c r="D21"/>
      <c r="E21" s="37">
        <v>4</v>
      </c>
      <c r="F21" s="36" t="str">
        <f t="shared" si="0"/>
        <v>Pending</v>
      </c>
      <c r="G21" s="38"/>
      <c r="H21" s="39">
        <v>9</v>
      </c>
      <c r="I21" s="37">
        <f t="shared" si="1"/>
        <v>9</v>
      </c>
      <c r="J21" s="39">
        <v>7</v>
      </c>
      <c r="K21" s="37">
        <f t="shared" si="2"/>
        <v>7</v>
      </c>
      <c r="L21" s="37">
        <f>IF(OR(G21&gt;0, ISBLANK(D21)), E21*'Dashboard - Exams'!$G$6*K21/10, 0)</f>
        <v>78.400000000000006</v>
      </c>
      <c r="M21" s="28">
        <v>2</v>
      </c>
      <c r="N21" s="17" t="b">
        <f t="shared" si="3"/>
        <v>0</v>
      </c>
    </row>
    <row r="22" spans="1:14" x14ac:dyDescent="0.25">
      <c r="A22" s="27"/>
      <c r="B22" s="17" t="s">
        <v>40</v>
      </c>
      <c r="C22" s="37">
        <v>4</v>
      </c>
      <c r="D22"/>
      <c r="E22" s="37">
        <v>3</v>
      </c>
      <c r="F22" s="36" t="str">
        <f t="shared" si="0"/>
        <v>Pending</v>
      </c>
      <c r="G22" s="38"/>
      <c r="H22" s="39">
        <v>9</v>
      </c>
      <c r="I22" s="37">
        <f t="shared" si="1"/>
        <v>9</v>
      </c>
      <c r="J22" s="39">
        <v>7</v>
      </c>
      <c r="K22" s="37">
        <f t="shared" si="2"/>
        <v>7</v>
      </c>
      <c r="L22" s="37">
        <f>IF(OR(G22&gt;0, ISBLANK(D22)), E22*'Dashboard - Exams'!$G$6*K22/10, 0)</f>
        <v>58.8</v>
      </c>
      <c r="M22" s="28">
        <v>2</v>
      </c>
      <c r="N22" s="17" t="b">
        <f t="shared" si="3"/>
        <v>0</v>
      </c>
    </row>
    <row r="23" spans="1:14" x14ac:dyDescent="0.25">
      <c r="A23" s="27"/>
      <c r="B23" s="17" t="s">
        <v>45</v>
      </c>
      <c r="C23" s="37">
        <v>4</v>
      </c>
      <c r="D23"/>
      <c r="E23" s="37">
        <v>3</v>
      </c>
      <c r="F23" s="36" t="str">
        <f t="shared" si="0"/>
        <v>Pending</v>
      </c>
      <c r="G23" s="38"/>
      <c r="H23" s="39">
        <v>9</v>
      </c>
      <c r="I23" s="37">
        <f t="shared" si="1"/>
        <v>9</v>
      </c>
      <c r="J23" s="39">
        <v>7</v>
      </c>
      <c r="K23" s="37">
        <f t="shared" si="2"/>
        <v>7</v>
      </c>
      <c r="L23" s="37">
        <f>IF(OR(G23&gt;0, ISBLANK(D23)), E23*'Dashboard - Exams'!$G$6*K23/10, 0)</f>
        <v>58.8</v>
      </c>
      <c r="M23" s="28">
        <v>2</v>
      </c>
      <c r="N23" s="17" t="b">
        <f t="shared" si="3"/>
        <v>0</v>
      </c>
    </row>
    <row r="24" spans="1:14" x14ac:dyDescent="0.25">
      <c r="A24" s="27"/>
      <c r="B24" s="17" t="s">
        <v>43</v>
      </c>
      <c r="C24" s="40">
        <v>3</v>
      </c>
      <c r="D24"/>
      <c r="E24" s="37">
        <v>4</v>
      </c>
      <c r="F24" s="36" t="str">
        <f t="shared" si="0"/>
        <v>Pending</v>
      </c>
      <c r="G24" s="38"/>
      <c r="H24" s="39">
        <v>9</v>
      </c>
      <c r="I24" s="37">
        <f t="shared" si="1"/>
        <v>9</v>
      </c>
      <c r="J24" s="39">
        <v>7</v>
      </c>
      <c r="K24" s="37">
        <f t="shared" si="2"/>
        <v>7</v>
      </c>
      <c r="L24" s="37">
        <f>IF(OR(G24&gt;0, ISBLANK(D24)), E24*'Dashboard - Exams'!$G$6*K24/10, 0)</f>
        <v>78.400000000000006</v>
      </c>
      <c r="M24" s="28">
        <v>2</v>
      </c>
      <c r="N24" s="17" t="b">
        <f t="shared" si="3"/>
        <v>0</v>
      </c>
    </row>
    <row r="25" spans="1:14" x14ac:dyDescent="0.25">
      <c r="A25" s="27"/>
      <c r="B25" s="17" t="s">
        <v>44</v>
      </c>
      <c r="C25" s="37">
        <v>3</v>
      </c>
      <c r="D25"/>
      <c r="E25" s="37">
        <v>3</v>
      </c>
      <c r="F25" s="36" t="str">
        <f t="shared" si="0"/>
        <v>Pending</v>
      </c>
      <c r="G25" s="38"/>
      <c r="H25" s="39">
        <v>9</v>
      </c>
      <c r="I25" s="37">
        <f t="shared" si="1"/>
        <v>9</v>
      </c>
      <c r="J25" s="39">
        <v>7</v>
      </c>
      <c r="K25" s="37">
        <f t="shared" si="2"/>
        <v>7</v>
      </c>
      <c r="L25" s="37">
        <f>IF(OR(G25&gt;0, ISBLANK(D25)), E25*'Dashboard - Exams'!$G$6*K25/10, 0)</f>
        <v>58.8</v>
      </c>
      <c r="M25" s="28">
        <v>2</v>
      </c>
      <c r="N25" s="17" t="b">
        <f t="shared" si="3"/>
        <v>0</v>
      </c>
    </row>
    <row r="26" spans="1:14" x14ac:dyDescent="0.25">
      <c r="A26" s="27"/>
      <c r="B26" s="17" t="s">
        <v>41</v>
      </c>
      <c r="C26" s="37">
        <v>3</v>
      </c>
      <c r="D26"/>
      <c r="E26" s="37">
        <v>5</v>
      </c>
      <c r="F26" s="36" t="str">
        <f t="shared" si="0"/>
        <v>Pending</v>
      </c>
      <c r="G26" s="38"/>
      <c r="H26" s="39">
        <v>9</v>
      </c>
      <c r="I26" s="37">
        <f t="shared" si="1"/>
        <v>9</v>
      </c>
      <c r="J26" s="39">
        <v>7</v>
      </c>
      <c r="K26" s="37">
        <f t="shared" si="2"/>
        <v>7</v>
      </c>
      <c r="L26" s="37">
        <f>IF(OR(G26&gt;0, ISBLANK(D26)), E26*'Dashboard - Exams'!$G$6*K26/10, 0)</f>
        <v>98</v>
      </c>
      <c r="M26" s="28">
        <v>2</v>
      </c>
      <c r="N26" s="17" t="b">
        <f t="shared" si="3"/>
        <v>0</v>
      </c>
    </row>
    <row r="27" spans="1:14" x14ac:dyDescent="0.25">
      <c r="A27" s="27"/>
      <c r="B27" s="17" t="s">
        <v>37</v>
      </c>
      <c r="C27" s="37">
        <v>2</v>
      </c>
      <c r="D27"/>
      <c r="E27" s="37">
        <v>3</v>
      </c>
      <c r="F27" s="36" t="str">
        <f t="shared" si="0"/>
        <v>Pending</v>
      </c>
      <c r="G27" s="38"/>
      <c r="H27" s="39">
        <v>9</v>
      </c>
      <c r="I27" s="37">
        <f t="shared" si="1"/>
        <v>9</v>
      </c>
      <c r="J27" s="39">
        <v>7</v>
      </c>
      <c r="K27" s="37">
        <f t="shared" si="2"/>
        <v>7</v>
      </c>
      <c r="L27" s="37">
        <f>IF(OR(G27&gt;0, ISBLANK(D27)), E27*'Dashboard - Exams'!$G$6*K27/10, 0)</f>
        <v>58.8</v>
      </c>
      <c r="M27" s="28">
        <v>2</v>
      </c>
      <c r="N27" s="17" t="b">
        <f t="shared" si="3"/>
        <v>0</v>
      </c>
    </row>
    <row r="28" spans="1:14" x14ac:dyDescent="0.25">
      <c r="A28" s="27"/>
      <c r="B28" s="17" t="s">
        <v>38</v>
      </c>
      <c r="C28" s="37">
        <v>2</v>
      </c>
      <c r="D28"/>
      <c r="E28" s="37">
        <v>5</v>
      </c>
      <c r="F28" s="36" t="str">
        <f t="shared" si="0"/>
        <v>Pending</v>
      </c>
      <c r="G28" s="38"/>
      <c r="H28" s="39">
        <v>9</v>
      </c>
      <c r="I28" s="37">
        <f t="shared" si="1"/>
        <v>9</v>
      </c>
      <c r="J28" s="39">
        <v>7</v>
      </c>
      <c r="K28" s="37">
        <f t="shared" si="2"/>
        <v>7</v>
      </c>
      <c r="L28" s="37">
        <f>IF(OR(G28&gt;0, ISBLANK(D28)), E28*'Dashboard - Exams'!$G$6*K28/10, 0)</f>
        <v>98</v>
      </c>
      <c r="M28" s="28">
        <v>2</v>
      </c>
      <c r="N28" s="17" t="b">
        <f t="shared" si="3"/>
        <v>0</v>
      </c>
    </row>
    <row r="29" spans="1:14" x14ac:dyDescent="0.25">
      <c r="A29" s="27"/>
      <c r="B29" s="17" t="s">
        <v>39</v>
      </c>
      <c r="C29" s="37">
        <v>2</v>
      </c>
      <c r="D29"/>
      <c r="E29" s="37">
        <v>3</v>
      </c>
      <c r="F29" s="36" t="str">
        <f t="shared" si="0"/>
        <v>Pending</v>
      </c>
      <c r="G29" s="38"/>
      <c r="H29" s="39">
        <v>9</v>
      </c>
      <c r="I29" s="37">
        <f t="shared" si="1"/>
        <v>9</v>
      </c>
      <c r="J29" s="39">
        <v>7</v>
      </c>
      <c r="K29" s="37">
        <f t="shared" si="2"/>
        <v>7</v>
      </c>
      <c r="L29" s="37">
        <f>IF(OR(G29&gt;0, ISBLANK(D29)), E29*'Dashboard - Exams'!$G$6*K29/10, 0)</f>
        <v>58.8</v>
      </c>
      <c r="M29" s="28">
        <v>2</v>
      </c>
      <c r="N29" s="17" t="b">
        <f t="shared" si="3"/>
        <v>0</v>
      </c>
    </row>
    <row r="30" spans="1:14" x14ac:dyDescent="0.25">
      <c r="A30" s="27"/>
      <c r="B30" s="17" t="s">
        <v>36</v>
      </c>
      <c r="C30" s="37">
        <v>2</v>
      </c>
      <c r="D30"/>
      <c r="E30" s="37">
        <v>1</v>
      </c>
      <c r="F30" s="36" t="str">
        <f t="shared" si="0"/>
        <v>Pending</v>
      </c>
      <c r="G30" s="38"/>
      <c r="H30" s="39">
        <v>9</v>
      </c>
      <c r="I30" s="37">
        <f t="shared" si="1"/>
        <v>9</v>
      </c>
      <c r="J30" s="39">
        <v>7</v>
      </c>
      <c r="K30" s="37">
        <f t="shared" si="2"/>
        <v>7</v>
      </c>
      <c r="L30" s="37">
        <f>IF(OR(G30&gt;0, ISBLANK(D30)), E30*'Dashboard - Exams'!$G$6*K30/10, 0)</f>
        <v>19.600000000000001</v>
      </c>
      <c r="M30" s="28">
        <v>2</v>
      </c>
      <c r="N30" s="17" t="b">
        <f t="shared" si="3"/>
        <v>0</v>
      </c>
    </row>
    <row r="31" spans="1:14" x14ac:dyDescent="0.25">
      <c r="A31" s="27"/>
      <c r="B31" s="17" t="s">
        <v>67</v>
      </c>
      <c r="C31" s="37">
        <v>1</v>
      </c>
      <c r="D31"/>
      <c r="E31" s="37">
        <v>4</v>
      </c>
      <c r="F31" s="36" t="str">
        <f t="shared" si="0"/>
        <v>Pending</v>
      </c>
      <c r="G31" s="38"/>
      <c r="H31" s="39">
        <v>9</v>
      </c>
      <c r="I31" s="37">
        <f t="shared" si="1"/>
        <v>9</v>
      </c>
      <c r="J31" s="39">
        <v>7</v>
      </c>
      <c r="K31" s="37">
        <f t="shared" si="2"/>
        <v>7</v>
      </c>
      <c r="L31" s="37">
        <f>IF(OR(G31&gt;0, ISBLANK(D31)), E31*'Dashboard - Exams'!$G$6*K31/10, 0)</f>
        <v>78.400000000000006</v>
      </c>
      <c r="M31" s="28">
        <v>2</v>
      </c>
      <c r="N31" s="17" t="b">
        <f t="shared" si="3"/>
        <v>0</v>
      </c>
    </row>
    <row r="32" spans="1:14" x14ac:dyDescent="0.25">
      <c r="A32" s="27"/>
      <c r="B32" s="17" t="s">
        <v>35</v>
      </c>
      <c r="C32" s="37">
        <v>1</v>
      </c>
      <c r="D32"/>
      <c r="E32" s="37">
        <v>3</v>
      </c>
      <c r="F32" s="36" t="str">
        <f t="shared" si="0"/>
        <v>Pending</v>
      </c>
      <c r="G32" s="38"/>
      <c r="H32" s="39">
        <v>9</v>
      </c>
      <c r="I32" s="37">
        <f t="shared" si="1"/>
        <v>9</v>
      </c>
      <c r="J32" s="39">
        <v>7</v>
      </c>
      <c r="K32" s="37">
        <f t="shared" si="2"/>
        <v>7</v>
      </c>
      <c r="L32" s="37">
        <f>IF(OR(G32&gt;0, ISBLANK(D32)), E32*'Dashboard - Exams'!$G$6*K32/10, 0)</f>
        <v>58.8</v>
      </c>
      <c r="M32" s="28">
        <v>2</v>
      </c>
      <c r="N32" s="17" t="b">
        <f t="shared" si="3"/>
        <v>0</v>
      </c>
    </row>
    <row r="33" spans="1:14" x14ac:dyDescent="0.25">
      <c r="A33" s="27"/>
      <c r="B33" s="17" t="s">
        <v>33</v>
      </c>
      <c r="C33" s="37">
        <v>1</v>
      </c>
      <c r="D33"/>
      <c r="E33" s="37">
        <v>3</v>
      </c>
      <c r="F33" s="36" t="str">
        <f t="shared" si="0"/>
        <v>Pending</v>
      </c>
      <c r="G33" s="38"/>
      <c r="H33" s="39">
        <v>9</v>
      </c>
      <c r="I33" s="37">
        <f t="shared" si="1"/>
        <v>9</v>
      </c>
      <c r="J33" s="39">
        <v>7</v>
      </c>
      <c r="K33" s="37">
        <f t="shared" si="2"/>
        <v>7</v>
      </c>
      <c r="L33" s="37">
        <f>IF(OR(G33&gt;0, ISBLANK(D33)), E33*'Dashboard - Exams'!$G$6*K33/10, 0)</f>
        <v>58.8</v>
      </c>
      <c r="M33" s="28">
        <v>2</v>
      </c>
      <c r="N33" s="17" t="b">
        <f t="shared" si="3"/>
        <v>0</v>
      </c>
    </row>
    <row r="34" spans="1:14" x14ac:dyDescent="0.25">
      <c r="A34" s="27"/>
      <c r="B34" s="17" t="s">
        <v>66</v>
      </c>
      <c r="C34" s="37">
        <v>1</v>
      </c>
      <c r="D34"/>
      <c r="E34" s="37">
        <v>4</v>
      </c>
      <c r="F34" s="36" t="str">
        <f t="shared" si="0"/>
        <v>Pending</v>
      </c>
      <c r="G34" s="38"/>
      <c r="H34" s="39">
        <v>9</v>
      </c>
      <c r="I34" s="37">
        <f t="shared" si="1"/>
        <v>9</v>
      </c>
      <c r="J34" s="39">
        <v>7</v>
      </c>
      <c r="K34" s="37">
        <f t="shared" si="2"/>
        <v>7</v>
      </c>
      <c r="L34" s="37">
        <f>IF(OR(G34&gt;0, ISBLANK(D34)), E34*'Dashboard - Exams'!$G$6*K34/10, 0)</f>
        <v>78.400000000000006</v>
      </c>
      <c r="M34" s="28">
        <v>2</v>
      </c>
      <c r="N34" s="17" t="b">
        <f t="shared" si="3"/>
        <v>0</v>
      </c>
    </row>
    <row r="35" spans="1:14" x14ac:dyDescent="0.25">
      <c r="A35" s="27"/>
      <c r="B35" s="17" t="s">
        <v>32</v>
      </c>
      <c r="C35" s="37">
        <v>1</v>
      </c>
      <c r="D35"/>
      <c r="E35" s="37">
        <v>5</v>
      </c>
      <c r="F35" s="36" t="str">
        <f t="shared" si="0"/>
        <v>Pending</v>
      </c>
      <c r="G35" s="38"/>
      <c r="H35" s="39">
        <v>9</v>
      </c>
      <c r="I35" s="37">
        <f t="shared" si="1"/>
        <v>9</v>
      </c>
      <c r="J35" s="39">
        <v>7</v>
      </c>
      <c r="K35" s="37">
        <f t="shared" si="2"/>
        <v>7</v>
      </c>
      <c r="L35" s="37">
        <f>IF(OR(G35&gt;0, ISBLANK(D35)), E35*'Dashboard - Exams'!$G$6*K35/10, 0)</f>
        <v>98</v>
      </c>
      <c r="M35" s="28">
        <v>2</v>
      </c>
      <c r="N35" s="17" t="b">
        <f t="shared" si="3"/>
        <v>0</v>
      </c>
    </row>
    <row r="36" spans="1:14" x14ac:dyDescent="0.25">
      <c r="A36" s="27"/>
      <c r="B36" s="17" t="s">
        <v>28</v>
      </c>
      <c r="C36" s="37">
        <v>3</v>
      </c>
      <c r="D36"/>
      <c r="E36" s="37">
        <v>5</v>
      </c>
      <c r="F36" s="36" t="str">
        <f t="shared" si="0"/>
        <v>Pending</v>
      </c>
      <c r="G36" s="38"/>
      <c r="H36" s="39">
        <v>9</v>
      </c>
      <c r="I36" s="37">
        <f t="shared" si="1"/>
        <v>9</v>
      </c>
      <c r="J36" s="39">
        <v>7</v>
      </c>
      <c r="K36" s="37">
        <f t="shared" si="2"/>
        <v>7</v>
      </c>
      <c r="L36" s="37">
        <f>IF(OR(G36&gt;0, ISBLANK(D36)), E36*'Dashboard - Exams'!$G$6*K36/10, 0)</f>
        <v>98</v>
      </c>
      <c r="M36" s="28">
        <v>3</v>
      </c>
      <c r="N36" s="17" t="b">
        <f t="shared" si="3"/>
        <v>0</v>
      </c>
    </row>
    <row r="37" spans="1:14" x14ac:dyDescent="0.25">
      <c r="A37" s="27"/>
      <c r="B37" s="17" t="s">
        <v>29</v>
      </c>
      <c r="C37" s="37">
        <v>3</v>
      </c>
      <c r="D37"/>
      <c r="E37" s="37">
        <v>4</v>
      </c>
      <c r="F37" s="36" t="str">
        <f t="shared" si="0"/>
        <v>Pending</v>
      </c>
      <c r="G37" s="38"/>
      <c r="H37" s="39">
        <v>9</v>
      </c>
      <c r="I37" s="37">
        <f t="shared" si="1"/>
        <v>9</v>
      </c>
      <c r="J37" s="39">
        <v>7</v>
      </c>
      <c r="K37" s="37">
        <f t="shared" si="2"/>
        <v>7</v>
      </c>
      <c r="L37" s="37">
        <f>IF(OR(G37&gt;0, ISBLANK(D37)), E37*'Dashboard - Exams'!$G$6*K37/10, 0)</f>
        <v>78.400000000000006</v>
      </c>
      <c r="M37" s="28">
        <v>3</v>
      </c>
      <c r="N37" s="17" t="b">
        <f t="shared" si="3"/>
        <v>0</v>
      </c>
    </row>
    <row r="38" spans="1:14" x14ac:dyDescent="0.25">
      <c r="A38" s="27"/>
      <c r="B38" s="17" t="s">
        <v>31</v>
      </c>
      <c r="C38" s="37">
        <v>3</v>
      </c>
      <c r="D38"/>
      <c r="E38" s="37">
        <v>3</v>
      </c>
      <c r="F38" s="36" t="str">
        <f t="shared" si="0"/>
        <v>Pending</v>
      </c>
      <c r="G38" s="38"/>
      <c r="H38" s="39">
        <v>9</v>
      </c>
      <c r="I38" s="37">
        <f t="shared" si="1"/>
        <v>9</v>
      </c>
      <c r="J38" s="39">
        <v>7</v>
      </c>
      <c r="K38" s="37">
        <f t="shared" si="2"/>
        <v>7</v>
      </c>
      <c r="L38" s="37">
        <f>IF(OR(G38&gt;0, ISBLANK(D38)), E38*'Dashboard - Exams'!$G$6*K38/10, 0)</f>
        <v>58.8</v>
      </c>
      <c r="M38" s="28">
        <v>3</v>
      </c>
      <c r="N38" s="17" t="b">
        <f t="shared" si="3"/>
        <v>0</v>
      </c>
    </row>
    <row r="39" spans="1:14" x14ac:dyDescent="0.25">
      <c r="A39" s="27"/>
      <c r="B39" s="17" t="s">
        <v>30</v>
      </c>
      <c r="C39" s="37">
        <v>3</v>
      </c>
      <c r="D39"/>
      <c r="E39" s="37">
        <v>3</v>
      </c>
      <c r="F39" s="36" t="str">
        <f t="shared" si="0"/>
        <v>Pending</v>
      </c>
      <c r="G39" s="38"/>
      <c r="H39" s="39">
        <v>9</v>
      </c>
      <c r="I39" s="37">
        <f t="shared" si="1"/>
        <v>9</v>
      </c>
      <c r="J39" s="39">
        <v>7</v>
      </c>
      <c r="K39" s="37">
        <f t="shared" si="2"/>
        <v>7</v>
      </c>
      <c r="L39" s="37">
        <f>IF(OR(G39&gt;0, ISBLANK(D39)), E39*'Dashboard - Exams'!$G$6*K39/10, 0)</f>
        <v>58.8</v>
      </c>
      <c r="M39" s="28">
        <v>3</v>
      </c>
      <c r="N39" s="17" t="b">
        <f t="shared" si="3"/>
        <v>0</v>
      </c>
    </row>
    <row r="40" spans="1:14" x14ac:dyDescent="0.25">
      <c r="A40" s="27"/>
      <c r="B40" s="17" t="s">
        <v>1</v>
      </c>
      <c r="C40" s="37">
        <v>2</v>
      </c>
      <c r="D40"/>
      <c r="E40" s="37">
        <v>15</v>
      </c>
      <c r="F40" s="36" t="str">
        <f t="shared" si="0"/>
        <v>Pending</v>
      </c>
      <c r="G40" s="38"/>
      <c r="H40" s="39">
        <v>9</v>
      </c>
      <c r="I40" s="37">
        <f t="shared" si="1"/>
        <v>9</v>
      </c>
      <c r="J40" s="39">
        <v>7</v>
      </c>
      <c r="K40" s="37">
        <f t="shared" si="2"/>
        <v>7</v>
      </c>
      <c r="L40" s="37">
        <f>IF(OR(G40&gt;0, ISBLANK(D40)), E40*'Dashboard - Exams'!$G$6*K40/10, 0)</f>
        <v>294</v>
      </c>
      <c r="M40" s="28">
        <v>3</v>
      </c>
      <c r="N40" s="17" t="b">
        <f t="shared" si="3"/>
        <v>0</v>
      </c>
    </row>
    <row r="41" spans="1:14" x14ac:dyDescent="0.25">
      <c r="A41" s="27"/>
      <c r="B41" s="17" t="s">
        <v>0</v>
      </c>
      <c r="C41" s="37">
        <v>2</v>
      </c>
      <c r="D41"/>
      <c r="E41" s="37">
        <v>15</v>
      </c>
      <c r="F41" s="36" t="str">
        <f t="shared" si="0"/>
        <v>Pending</v>
      </c>
      <c r="G41" s="38"/>
      <c r="H41" s="39">
        <v>9</v>
      </c>
      <c r="I41" s="37">
        <f t="shared" si="1"/>
        <v>9</v>
      </c>
      <c r="J41" s="39">
        <v>7</v>
      </c>
      <c r="K41" s="37">
        <f t="shared" si="2"/>
        <v>7</v>
      </c>
      <c r="L41" s="37">
        <f>IF(OR(G41&gt;0, ISBLANK(D41)), E41*'Dashboard - Exams'!$G$6*K41/10, 0)</f>
        <v>294</v>
      </c>
      <c r="M41" s="28" t="s">
        <v>59</v>
      </c>
      <c r="N41" s="17" t="b">
        <f t="shared" si="3"/>
        <v>0</v>
      </c>
    </row>
    <row r="42" spans="1:14" x14ac:dyDescent="0.25">
      <c r="A42" s="27"/>
      <c r="B42" s="17" t="s">
        <v>20</v>
      </c>
      <c r="C42" s="37">
        <v>1</v>
      </c>
      <c r="D42"/>
      <c r="E42" s="37">
        <v>4</v>
      </c>
      <c r="F42" s="36" t="str">
        <f t="shared" si="0"/>
        <v>Pending</v>
      </c>
      <c r="G42" s="38"/>
      <c r="H42" s="39">
        <v>9</v>
      </c>
      <c r="I42" s="37">
        <f t="shared" si="1"/>
        <v>9</v>
      </c>
      <c r="J42" s="39">
        <v>7</v>
      </c>
      <c r="K42" s="37">
        <f t="shared" si="2"/>
        <v>7</v>
      </c>
      <c r="L42" s="37">
        <f>IF(OR(G42&gt;0, ISBLANK(D42)), E42*'Dashboard - Exams'!$G$6*K42/10, 0)</f>
        <v>78.400000000000006</v>
      </c>
      <c r="M42" s="28" t="s">
        <v>59</v>
      </c>
      <c r="N42" s="17" t="b">
        <f t="shared" si="3"/>
        <v>0</v>
      </c>
    </row>
    <row r="43" spans="1:14" x14ac:dyDescent="0.25">
      <c r="A43" s="27"/>
      <c r="B43" s="17" t="s">
        <v>24</v>
      </c>
      <c r="C43" s="37">
        <v>1</v>
      </c>
      <c r="D43"/>
      <c r="E43" s="37">
        <v>1</v>
      </c>
      <c r="F43" s="36" t="str">
        <f t="shared" si="0"/>
        <v>Pending</v>
      </c>
      <c r="G43" s="38"/>
      <c r="H43" s="39">
        <v>9</v>
      </c>
      <c r="I43" s="37">
        <f t="shared" si="1"/>
        <v>9</v>
      </c>
      <c r="J43" s="39">
        <v>7</v>
      </c>
      <c r="K43" s="37">
        <f t="shared" si="2"/>
        <v>7</v>
      </c>
      <c r="L43" s="37">
        <f>IF(OR(G43&gt;0, ISBLANK(D43)), E43*'Dashboard - Exams'!$G$6*K43/10, 0)</f>
        <v>19.600000000000001</v>
      </c>
      <c r="M43" s="28" t="s">
        <v>59</v>
      </c>
      <c r="N43" s="17" t="b">
        <f t="shared" si="3"/>
        <v>0</v>
      </c>
    </row>
    <row r="44" spans="1:14" x14ac:dyDescent="0.25">
      <c r="A44" s="27"/>
      <c r="B44" s="17" t="s">
        <v>22</v>
      </c>
      <c r="C44" s="37">
        <v>1</v>
      </c>
      <c r="D44"/>
      <c r="E44" s="37">
        <v>2</v>
      </c>
      <c r="F44" s="36" t="str">
        <f t="shared" si="0"/>
        <v>Pending</v>
      </c>
      <c r="G44" s="38"/>
      <c r="H44" s="39">
        <v>9</v>
      </c>
      <c r="I44" s="37">
        <f t="shared" si="1"/>
        <v>9</v>
      </c>
      <c r="J44" s="39">
        <v>7</v>
      </c>
      <c r="K44" s="37">
        <f t="shared" si="2"/>
        <v>7</v>
      </c>
      <c r="L44" s="37">
        <f>IF(OR(G44&gt;0, ISBLANK(D44)), E44*'Dashboard - Exams'!$G$6*K44/10, 0)</f>
        <v>39.200000000000003</v>
      </c>
      <c r="M44" s="28" t="s">
        <v>59</v>
      </c>
      <c r="N44" s="17" t="b">
        <f t="shared" si="3"/>
        <v>0</v>
      </c>
    </row>
    <row r="45" spans="1:14" x14ac:dyDescent="0.25">
      <c r="A45" s="27"/>
      <c r="B45" s="17" t="s">
        <v>16</v>
      </c>
      <c r="C45" s="37">
        <v>1</v>
      </c>
      <c r="D45"/>
      <c r="E45" s="37">
        <v>5</v>
      </c>
      <c r="F45" s="36" t="str">
        <f t="shared" si="0"/>
        <v>Pending</v>
      </c>
      <c r="G45" s="38"/>
      <c r="H45" s="39">
        <v>9</v>
      </c>
      <c r="I45" s="37">
        <f t="shared" si="1"/>
        <v>9</v>
      </c>
      <c r="J45" s="39">
        <v>7</v>
      </c>
      <c r="K45" s="37">
        <f t="shared" si="2"/>
        <v>7</v>
      </c>
      <c r="L45" s="37">
        <f>IF(OR(G45&gt;0, ISBLANK(D45)), E45*'Dashboard - Exams'!$G$6*K45/10, 0)</f>
        <v>98</v>
      </c>
      <c r="M45" s="28" t="s">
        <v>59</v>
      </c>
      <c r="N45" s="17" t="b">
        <f t="shared" si="3"/>
        <v>0</v>
      </c>
    </row>
    <row r="46" spans="1:14" x14ac:dyDescent="0.25">
      <c r="A46" s="27"/>
      <c r="B46" s="17" t="s">
        <v>21</v>
      </c>
      <c r="C46" s="37">
        <v>1</v>
      </c>
      <c r="D46"/>
      <c r="E46" s="37">
        <v>3</v>
      </c>
      <c r="F46" s="36" t="str">
        <f t="shared" si="0"/>
        <v>Pending</v>
      </c>
      <c r="G46" s="38"/>
      <c r="H46" s="39">
        <v>9</v>
      </c>
      <c r="I46" s="37">
        <f t="shared" si="1"/>
        <v>9</v>
      </c>
      <c r="J46" s="39">
        <v>7</v>
      </c>
      <c r="K46" s="37">
        <f t="shared" si="2"/>
        <v>7</v>
      </c>
      <c r="L46" s="37">
        <f>IF(OR(G46&gt;0, ISBLANK(D46)), E46*'Dashboard - Exams'!$G$6*K46/10, 0)</f>
        <v>58.8</v>
      </c>
      <c r="M46" s="28" t="s">
        <v>59</v>
      </c>
      <c r="N46" s="17" t="b">
        <f t="shared" si="3"/>
        <v>0</v>
      </c>
    </row>
  </sheetData>
  <sortState xmlns:xlrd2="http://schemas.microsoft.com/office/spreadsheetml/2017/richdata2" ref="B2:N46">
    <sortCondition ref="M2:M46"/>
  </sortState>
  <phoneticPr fontId="1" type="noConversion"/>
  <conditionalFormatting sqref="F2:F46">
    <cfRule type="expression" dxfId="10" priority="25">
      <formula>$F2="Definitive"</formula>
    </cfRule>
  </conditionalFormatting>
  <conditionalFormatting sqref="M2:M46">
    <cfRule type="expression" dxfId="9" priority="39">
      <formula>$M2="Minor"</formula>
    </cfRule>
    <cfRule type="expression" dxfId="8" priority="40">
      <formula>$M2=1</formula>
    </cfRule>
    <cfRule type="expression" dxfId="7" priority="41">
      <formula>$M2=2</formula>
    </cfRule>
    <cfRule type="expression" dxfId="6" priority="42">
      <formula>$M2=3</formula>
    </cfRule>
  </conditionalFormatting>
  <conditionalFormatting sqref="N2:N46">
    <cfRule type="expression" dxfId="5" priority="17">
      <formula>N2=FALSE</formula>
    </cfRule>
    <cfRule type="expression" dxfId="4" priority="18">
      <formula>N2=TRUE</formula>
    </cfRule>
  </conditionalFormatting>
  <conditionalFormatting sqref="G2:G46">
    <cfRule type="expression" dxfId="3" priority="1">
      <formula>AND(NOT(ISBLANK($D2)), $D2&lt;5, NOT($G2=1))</formula>
    </cfRule>
  </conditionalFormatting>
  <conditionalFormatting sqref="B2:B46 I2:I46 K2:K46 G2:G46">
    <cfRule type="expression" dxfId="2" priority="80">
      <formula>AND($D2&lt;5, NOT(ISBLANK($D2)))</formula>
    </cfRule>
    <cfRule type="expression" dxfId="1" priority="81">
      <formula>AND($G2=1, $J2&gt;$C2, NOT(ISBLANK($D2)))</formula>
    </cfRule>
    <cfRule type="expression" dxfId="0" priority="82">
      <formula>ISBLANK($D2)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45299D-6208-47E5-93C5-616309A408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Modules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2021-06-04T12:05:41Z</dcterms:modified>
</cp:coreProperties>
</file>