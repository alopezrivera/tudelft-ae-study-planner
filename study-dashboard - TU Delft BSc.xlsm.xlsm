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XY4n\TU_Delft\record\src\"/>
    </mc:Choice>
  </mc:AlternateContent>
  <xr:revisionPtr revIDLastSave="0" documentId="13_ncr:1_{9F47644E-DBE5-45EC-99C3-F55A6F590D4D}" xr6:coauthVersionLast="46" xr6:coauthVersionMax="46" xr10:uidLastSave="{00000000-0000-0000-0000-000000000000}"/>
  <bookViews>
    <workbookView xWindow="-109" yWindow="-109" windowWidth="25255" windowHeight="14889" activeTab="2" xr2:uid="{00000000-000D-0000-FFFF-FFFF00000000}"/>
  </bookViews>
  <sheets>
    <sheet name="Dashboard - Quarter" sheetId="14" r:id="rId1"/>
    <sheet name="Dashboard - Exams" sheetId="5" r:id="rId2"/>
    <sheet name="Courses" sheetId="1" r:id="rId3"/>
    <sheet name="Modules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5" l="1" a="1"/>
  <c r="C7" i="5" s="1"/>
  <c r="B43" i="5" a="1"/>
  <c r="B43" i="5" s="1"/>
  <c r="J30" i="5" a="1"/>
  <c r="J30" i="5" s="1"/>
  <c r="B30" i="5" a="1"/>
  <c r="B30" i="5" s="1"/>
  <c r="J13" i="5" a="1"/>
  <c r="J13" i="5" s="1"/>
  <c r="B13" i="5" a="1"/>
  <c r="B13" i="5" s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K2" i="1"/>
  <c r="I2" i="1" l="1"/>
  <c r="E7" i="14" l="1"/>
  <c r="E6" i="14"/>
  <c r="L2" i="1" l="1"/>
  <c r="L19" i="1"/>
  <c r="L38" i="1"/>
  <c r="L39" i="1"/>
  <c r="L24" i="1"/>
  <c r="L40" i="1"/>
  <c r="F19" i="1"/>
  <c r="F3" i="1"/>
  <c r="F20" i="1"/>
  <c r="F4" i="1"/>
  <c r="F21" i="1"/>
  <c r="F22" i="1"/>
  <c r="F23" i="1"/>
  <c r="F5" i="1"/>
  <c r="F6" i="1"/>
  <c r="F36" i="1"/>
  <c r="F37" i="1"/>
  <c r="F38" i="1"/>
  <c r="F39" i="1"/>
  <c r="F24" i="1"/>
  <c r="F25" i="1"/>
  <c r="F26" i="1"/>
  <c r="F7" i="1"/>
  <c r="F8" i="1"/>
  <c r="F9" i="1"/>
  <c r="F40" i="1"/>
  <c r="I21" i="2" s="1" a="1"/>
  <c r="I21" i="2" s="1"/>
  <c r="F27" i="1"/>
  <c r="F10" i="1"/>
  <c r="F11" i="1"/>
  <c r="F12" i="1"/>
  <c r="F28" i="1"/>
  <c r="F13" i="1"/>
  <c r="F41" i="1"/>
  <c r="F29" i="1"/>
  <c r="F30" i="1"/>
  <c r="F42" i="1"/>
  <c r="F43" i="1"/>
  <c r="F31" i="1"/>
  <c r="F32" i="1"/>
  <c r="F14" i="1"/>
  <c r="F15" i="1"/>
  <c r="F33" i="1"/>
  <c r="F34" i="1"/>
  <c r="F44" i="1"/>
  <c r="F45" i="1"/>
  <c r="F46" i="1"/>
  <c r="F35" i="1"/>
  <c r="F16" i="1"/>
  <c r="F17" i="1"/>
  <c r="F18" i="1"/>
  <c r="F2" i="1"/>
  <c r="C24" i="2" a="1"/>
  <c r="C24" i="2" s="1"/>
  <c r="C23" i="2" a="1"/>
  <c r="C23" i="2" s="1"/>
  <c r="C28" i="2" a="1"/>
  <c r="C28" i="2" s="1"/>
  <c r="N17" i="1"/>
  <c r="N16" i="1"/>
  <c r="N35" i="1"/>
  <c r="N46" i="1"/>
  <c r="N45" i="1"/>
  <c r="N44" i="1"/>
  <c r="N34" i="1"/>
  <c r="N33" i="1"/>
  <c r="N15" i="1"/>
  <c r="N14" i="1"/>
  <c r="N32" i="1"/>
  <c r="N31" i="1"/>
  <c r="N43" i="1"/>
  <c r="N42" i="1"/>
  <c r="N30" i="1"/>
  <c r="N29" i="1"/>
  <c r="N41" i="1"/>
  <c r="N13" i="1"/>
  <c r="N28" i="1"/>
  <c r="N12" i="1"/>
  <c r="N11" i="1"/>
  <c r="N10" i="1"/>
  <c r="N27" i="1"/>
  <c r="N40" i="1"/>
  <c r="N9" i="1"/>
  <c r="N8" i="1"/>
  <c r="N7" i="1"/>
  <c r="N26" i="1"/>
  <c r="N25" i="1"/>
  <c r="N24" i="1"/>
  <c r="N39" i="1"/>
  <c r="N38" i="1"/>
  <c r="N37" i="1"/>
  <c r="N36" i="1"/>
  <c r="N6" i="1"/>
  <c r="N5" i="1"/>
  <c r="N23" i="1"/>
  <c r="N22" i="1"/>
  <c r="N21" i="1"/>
  <c r="N4" i="1"/>
  <c r="N20" i="1"/>
  <c r="N3" i="1"/>
  <c r="N19" i="1"/>
  <c r="N2" i="1"/>
  <c r="N18" i="1"/>
  <c r="L31" i="1"/>
  <c r="E23" i="2" a="1"/>
  <c r="E23" i="2" s="1"/>
  <c r="C12" i="2" a="1"/>
  <c r="C12" i="2" s="1"/>
  <c r="C21" i="2" a="1"/>
  <c r="C21" i="2" s="1"/>
  <c r="E12" i="2" a="1"/>
  <c r="E12" i="2" s="1"/>
  <c r="E2" i="2" a="1"/>
  <c r="E2" i="2" s="1"/>
  <c r="E3" i="2" a="1"/>
  <c r="E3" i="2" s="1"/>
  <c r="E24" i="2" a="1"/>
  <c r="E24" i="2" s="1"/>
  <c r="E25" i="2" a="1"/>
  <c r="E25" i="2" s="1"/>
  <c r="E26" i="2" a="1"/>
  <c r="E26" i="2" s="1"/>
  <c r="E27" i="2" a="1"/>
  <c r="E27" i="2" s="1"/>
  <c r="E28" i="2" a="1"/>
  <c r="E28" i="2" s="1"/>
  <c r="E20" i="2" a="1"/>
  <c r="E20" i="2" s="1"/>
  <c r="E21" i="2" a="1"/>
  <c r="E21" i="2" s="1"/>
  <c r="E22" i="2" a="1"/>
  <c r="E22" i="2" s="1"/>
  <c r="E13" i="2" a="1"/>
  <c r="E13" i="2" s="1"/>
  <c r="E14" i="2" a="1"/>
  <c r="E14" i="2" s="1"/>
  <c r="E15" i="2" a="1"/>
  <c r="E15" i="2" s="1"/>
  <c r="E16" i="2" a="1"/>
  <c r="E16" i="2" s="1"/>
  <c r="E17" i="2" a="1"/>
  <c r="E17" i="2" s="1"/>
  <c r="E18" i="2" a="1"/>
  <c r="E18" i="2" s="1"/>
  <c r="E19" i="2" a="1"/>
  <c r="E19" i="2" s="1"/>
  <c r="E4" i="2" a="1"/>
  <c r="E4" i="2" s="1"/>
  <c r="E5" i="2" a="1"/>
  <c r="E5" i="2" s="1"/>
  <c r="E6" i="2" a="1"/>
  <c r="E6" i="2" s="1"/>
  <c r="E7" i="2" a="1"/>
  <c r="E7" i="2" s="1"/>
  <c r="E8" i="2" a="1"/>
  <c r="E8" i="2" s="1"/>
  <c r="E9" i="2" a="1"/>
  <c r="E9" i="2" s="1"/>
  <c r="E10" i="2" a="1"/>
  <c r="E10" i="2" s="1"/>
  <c r="E11" i="2" a="1"/>
  <c r="E11" i="2" s="1"/>
  <c r="D27" i="2" a="1"/>
  <c r="D27" i="2" s="1"/>
  <c r="D26" i="2" a="1"/>
  <c r="D26" i="2" s="1"/>
  <c r="D25" i="2" a="1"/>
  <c r="D25" i="2" s="1"/>
  <c r="D24" i="2" a="1"/>
  <c r="D24" i="2" s="1"/>
  <c r="D23" i="2" a="1"/>
  <c r="D23" i="2" s="1"/>
  <c r="D22" i="2" a="1"/>
  <c r="D22" i="2" s="1"/>
  <c r="D21" i="2" a="1"/>
  <c r="D21" i="2" s="1"/>
  <c r="D20" i="2" a="1"/>
  <c r="D20" i="2" s="1"/>
  <c r="D15" i="2" a="1"/>
  <c r="D15" i="2" s="1"/>
  <c r="D19" i="2" a="1"/>
  <c r="D19" i="2" s="1"/>
  <c r="D18" i="2" a="1"/>
  <c r="D18" i="2" s="1"/>
  <c r="D17" i="2" a="1"/>
  <c r="D17" i="2" s="1"/>
  <c r="D16" i="2" a="1"/>
  <c r="D16" i="2" s="1"/>
  <c r="D14" i="2" a="1"/>
  <c r="D14" i="2" s="1"/>
  <c r="D13" i="2" a="1"/>
  <c r="D13" i="2" s="1"/>
  <c r="D12" i="2" a="1"/>
  <c r="D12" i="2" s="1"/>
  <c r="D11" i="2" a="1"/>
  <c r="D11" i="2" s="1"/>
  <c r="D10" i="2" a="1"/>
  <c r="D10" i="2" s="1"/>
  <c r="D9" i="2" a="1"/>
  <c r="D9" i="2" s="1"/>
  <c r="D8" i="2" a="1"/>
  <c r="D8" i="2" s="1"/>
  <c r="D7" i="2" a="1"/>
  <c r="D7" i="2" s="1"/>
  <c r="D6" i="2" a="1"/>
  <c r="D6" i="2" s="1"/>
  <c r="D4" i="2" a="1"/>
  <c r="D4" i="2" s="1"/>
  <c r="D3" i="2" a="1"/>
  <c r="D3" i="2" s="1"/>
  <c r="D2" i="2" a="1"/>
  <c r="D2" i="2" s="1"/>
  <c r="D28" i="2" a="1"/>
  <c r="D28" i="2" s="1"/>
  <c r="C8" i="2" a="1"/>
  <c r="C8" i="2" s="1"/>
  <c r="C7" i="2" a="1"/>
  <c r="C7" i="2" s="1"/>
  <c r="C6" i="2" a="1"/>
  <c r="C6" i="2" s="1"/>
  <c r="C5" i="2" a="1"/>
  <c r="C5" i="2" s="1"/>
  <c r="C4" i="2" a="1"/>
  <c r="C4" i="2" s="1"/>
  <c r="C3" i="2" a="1"/>
  <c r="C3" i="2" s="1"/>
  <c r="F3" i="2" s="1" a="1"/>
  <c r="F3" i="2" s="1"/>
  <c r="C2" i="2" a="1"/>
  <c r="C2" i="2" s="1"/>
  <c r="C27" i="2" a="1"/>
  <c r="C27" i="2" s="1"/>
  <c r="C26" i="2" a="1"/>
  <c r="C26" i="2" s="1"/>
  <c r="C25" i="2" a="1"/>
  <c r="C25" i="2" s="1"/>
  <c r="C22" i="2" a="1"/>
  <c r="C22" i="2" s="1"/>
  <c r="C20" i="2" a="1"/>
  <c r="C20" i="2" s="1"/>
  <c r="C15" i="2" a="1"/>
  <c r="C15" i="2" s="1"/>
  <c r="C19" i="2" a="1"/>
  <c r="C19" i="2" s="1"/>
  <c r="C18" i="2" a="1"/>
  <c r="C18" i="2" s="1"/>
  <c r="C17" i="2" a="1"/>
  <c r="C17" i="2" s="1"/>
  <c r="C16" i="2" a="1"/>
  <c r="C16" i="2" s="1"/>
  <c r="C14" i="2" a="1"/>
  <c r="C14" i="2" s="1"/>
  <c r="C13" i="2" a="1"/>
  <c r="C13" i="2" s="1"/>
  <c r="C11" i="2" a="1"/>
  <c r="C11" i="2" s="1"/>
  <c r="C10" i="2" a="1"/>
  <c r="C10" i="2" s="1"/>
  <c r="C9" i="2" a="1"/>
  <c r="C9" i="2" s="1"/>
  <c r="I3" i="2" l="1" a="1"/>
  <c r="I3" i="2" s="1"/>
  <c r="J3" i="2" s="1"/>
  <c r="G3" i="2" a="1"/>
  <c r="G3" i="2" s="1"/>
  <c r="H3" i="2" s="1"/>
  <c r="I14" i="2" a="1"/>
  <c r="I14" i="2" s="1"/>
  <c r="I23" i="2" a="1"/>
  <c r="I23" i="2" s="1"/>
  <c r="I20" i="2" a="1"/>
  <c r="I20" i="2" s="1"/>
  <c r="J20" i="2" s="1"/>
  <c r="I7" i="2" a="1"/>
  <c r="I7" i="2" s="1"/>
  <c r="I12" i="2" a="1"/>
  <c r="I12" i="2" s="1"/>
  <c r="J12" i="2" s="1"/>
  <c r="I26" i="2" a="1"/>
  <c r="I26" i="2" s="1"/>
  <c r="G12" i="2" a="1"/>
  <c r="G12" i="2" s="1"/>
  <c r="H12" i="2" s="1"/>
  <c r="F20" i="2" a="1"/>
  <c r="F20" i="2" s="1"/>
  <c r="G20" i="2" a="1"/>
  <c r="G20" i="2" s="1"/>
  <c r="H20" i="2" s="1"/>
  <c r="G21" i="2" a="1"/>
  <c r="G21" i="2" s="1"/>
  <c r="H21" i="2" s="1"/>
  <c r="J21" i="2"/>
  <c r="F21" i="2" a="1"/>
  <c r="F21" i="2" s="1"/>
  <c r="L8" i="1"/>
  <c r="I6" i="2" s="1" a="1"/>
  <c r="I6" i="2" s="1"/>
  <c r="L26" i="1"/>
  <c r="L37" i="1"/>
  <c r="L43" i="1"/>
  <c r="L11" i="1"/>
  <c r="I2" i="2" s="1" a="1"/>
  <c r="I2" i="2" s="1"/>
  <c r="L42" i="1"/>
  <c r="I24" i="2" s="1" a="1"/>
  <c r="I24" i="2" s="1"/>
  <c r="L30" i="1"/>
  <c r="L3" i="1"/>
  <c r="I11" i="2" s="1" a="1"/>
  <c r="I11" i="2" s="1"/>
  <c r="L18" i="1"/>
  <c r="L29" i="1"/>
  <c r="L36" i="1"/>
  <c r="I22" i="2" s="1" a="1"/>
  <c r="I22" i="2" s="1"/>
  <c r="L17" i="1"/>
  <c r="I9" i="2" s="1" a="1"/>
  <c r="I9" i="2" s="1"/>
  <c r="L41" i="1"/>
  <c r="I25" i="2" s="1" a="1"/>
  <c r="I25" i="2" s="1"/>
  <c r="L6" i="1"/>
  <c r="L16" i="1"/>
  <c r="L13" i="1"/>
  <c r="L5" i="1"/>
  <c r="L35" i="1"/>
  <c r="L28" i="1"/>
  <c r="I17" i="2" s="1" a="1"/>
  <c r="I17" i="2" s="1"/>
  <c r="L9" i="1"/>
  <c r="L23" i="1"/>
  <c r="L46" i="1"/>
  <c r="I28" i="2" s="1" a="1"/>
  <c r="I28" i="2" s="1"/>
  <c r="L12" i="1"/>
  <c r="I8" i="2" s="1" a="1"/>
  <c r="I8" i="2" s="1"/>
  <c r="L22" i="1"/>
  <c r="I16" i="2" s="1" a="1"/>
  <c r="I16" i="2" s="1"/>
  <c r="L45" i="1"/>
  <c r="I27" i="2" s="1" a="1"/>
  <c r="I27" i="2" s="1"/>
  <c r="L7" i="1"/>
  <c r="L21" i="1"/>
  <c r="G13" i="2" s="1" a="1"/>
  <c r="G13" i="2" s="1"/>
  <c r="H13" i="2" s="1"/>
  <c r="L44" i="1"/>
  <c r="L10" i="1"/>
  <c r="L4" i="1"/>
  <c r="I4" i="2" s="1" a="1"/>
  <c r="I4" i="2" s="1"/>
  <c r="L34" i="1"/>
  <c r="F12" i="2" s="1" a="1"/>
  <c r="F12" i="2" s="1"/>
  <c r="L27" i="1"/>
  <c r="I18" i="2" s="1" a="1"/>
  <c r="I18" i="2" s="1"/>
  <c r="L25" i="1"/>
  <c r="I15" i="2" s="1" a="1"/>
  <c r="I15" i="2" s="1"/>
  <c r="L20" i="1"/>
  <c r="L15" i="1"/>
  <c r="L33" i="1"/>
  <c r="I19" i="2" s="1" a="1"/>
  <c r="I19" i="2" s="1"/>
  <c r="L14" i="1"/>
  <c r="I10" i="2" s="1" a="1"/>
  <c r="I10" i="2" s="1"/>
  <c r="L32" i="1"/>
  <c r="F13" i="2" l="1" a="1"/>
  <c r="F13" i="2" s="1"/>
  <c r="I5" i="2" a="1"/>
  <c r="I5" i="2" s="1"/>
  <c r="J5" i="2" s="1"/>
  <c r="I13" i="2" a="1"/>
  <c r="I13" i="2" s="1"/>
  <c r="J13" i="2" s="1"/>
  <c r="J7" i="2"/>
  <c r="G7" i="2" a="1"/>
  <c r="G7" i="2" s="1"/>
  <c r="H7" i="2" s="1"/>
  <c r="F7" i="2" a="1"/>
  <c r="F7" i="2" s="1"/>
  <c r="J25" i="2"/>
  <c r="G25" i="2" a="1"/>
  <c r="G25" i="2" s="1"/>
  <c r="H25" i="2" s="1"/>
  <c r="F25" i="2" a="1"/>
  <c r="F25" i="2" s="1"/>
  <c r="G19" i="2" a="1"/>
  <c r="G19" i="2" s="1"/>
  <c r="H19" i="2" s="1"/>
  <c r="J19" i="2"/>
  <c r="F19" i="2" a="1"/>
  <c r="F19" i="2" s="1"/>
  <c r="F9" i="2" a="1"/>
  <c r="F9" i="2" s="1"/>
  <c r="G9" i="2" a="1"/>
  <c r="G9" i="2" s="1"/>
  <c r="H9" i="2" s="1"/>
  <c r="J9" i="2"/>
  <c r="F27" i="2" a="1"/>
  <c r="F27" i="2" s="1"/>
  <c r="J27" i="2"/>
  <c r="G27" i="2" a="1"/>
  <c r="G27" i="2" s="1"/>
  <c r="H27" i="2" s="1"/>
  <c r="G6" i="2" a="1"/>
  <c r="G6" i="2" s="1"/>
  <c r="H6" i="2" s="1"/>
  <c r="J6" i="2"/>
  <c r="F6" i="2" a="1"/>
  <c r="F6" i="2" s="1"/>
  <c r="F16" i="2" a="1"/>
  <c r="F16" i="2" s="1"/>
  <c r="J16" i="2"/>
  <c r="G16" i="2" a="1"/>
  <c r="G16" i="2" s="1"/>
  <c r="H16" i="2" s="1"/>
  <c r="G8" i="2" a="1"/>
  <c r="G8" i="2" s="1"/>
  <c r="H8" i="2" s="1"/>
  <c r="J8" i="2"/>
  <c r="F8" i="2" a="1"/>
  <c r="F8" i="2" s="1"/>
  <c r="F22" i="2" a="1"/>
  <c r="F22" i="2" s="1"/>
  <c r="G22" i="2" a="1"/>
  <c r="G22" i="2" s="1"/>
  <c r="H22" i="2" s="1"/>
  <c r="J22" i="2"/>
  <c r="J14" i="2"/>
  <c r="F14" i="2" a="1"/>
  <c r="F14" i="2" s="1"/>
  <c r="G14" i="2" a="1"/>
  <c r="G14" i="2" s="1"/>
  <c r="H14" i="2" s="1"/>
  <c r="F28" i="2" a="1"/>
  <c r="F28" i="2" s="1"/>
  <c r="G28" i="2" a="1"/>
  <c r="G28" i="2" s="1"/>
  <c r="H28" i="2" s="1"/>
  <c r="J28" i="2"/>
  <c r="F15" i="2" a="1"/>
  <c r="F15" i="2" s="1"/>
  <c r="J15" i="2"/>
  <c r="G15" i="2" a="1"/>
  <c r="G15" i="2" s="1"/>
  <c r="H15" i="2" s="1"/>
  <c r="F18" i="2" a="1"/>
  <c r="F18" i="2" s="1"/>
  <c r="G18" i="2" a="1"/>
  <c r="G18" i="2" s="1"/>
  <c r="H18" i="2" s="1"/>
  <c r="J18" i="2"/>
  <c r="G11" i="2" a="1"/>
  <c r="G11" i="2" s="1"/>
  <c r="H11" i="2" s="1"/>
  <c r="J11" i="2"/>
  <c r="F11" i="2" a="1"/>
  <c r="F11" i="2" s="1"/>
  <c r="F17" i="2" a="1"/>
  <c r="F17" i="2" s="1"/>
  <c r="G17" i="2" a="1"/>
  <c r="G17" i="2" s="1"/>
  <c r="H17" i="2" s="1"/>
  <c r="J17" i="2"/>
  <c r="J4" i="2"/>
  <c r="F5" i="2" a="1"/>
  <c r="F5" i="2" s="1"/>
  <c r="G4" i="2" a="1"/>
  <c r="G4" i="2" s="1"/>
  <c r="H4" i="2" s="1"/>
  <c r="F4" i="2" a="1"/>
  <c r="F4" i="2" s="1"/>
  <c r="G5" i="2" a="1"/>
  <c r="G5" i="2" s="1"/>
  <c r="H5" i="2" s="1"/>
  <c r="J24" i="2"/>
  <c r="F24" i="2" a="1"/>
  <c r="F24" i="2" s="1"/>
  <c r="G24" i="2" a="1"/>
  <c r="G24" i="2" s="1"/>
  <c r="H24" i="2" s="1"/>
  <c r="F10" i="2" a="1"/>
  <c r="F10" i="2" s="1"/>
  <c r="G10" i="2" a="1"/>
  <c r="G10" i="2" s="1"/>
  <c r="H10" i="2" s="1"/>
  <c r="J10" i="2"/>
  <c r="F2" i="2" a="1"/>
  <c r="F2" i="2" s="1"/>
  <c r="J2" i="2"/>
  <c r="G2" i="2" a="1"/>
  <c r="G2" i="2" s="1"/>
  <c r="H2" i="2" s="1"/>
  <c r="F23" i="2" a="1"/>
  <c r="F23" i="2" s="1"/>
  <c r="G23" i="2" a="1"/>
  <c r="G23" i="2" s="1"/>
  <c r="H23" i="2" s="1"/>
  <c r="J23" i="2"/>
  <c r="F26" i="2" a="1"/>
  <c r="F26" i="2" s="1"/>
  <c r="G26" i="2" a="1"/>
  <c r="G26" i="2" s="1"/>
  <c r="H26" i="2" s="1"/>
  <c r="J26" i="2"/>
  <c r="C6" i="5" l="1" a="1"/>
  <c r="C6" i="5" s="1"/>
  <c r="C2" i="5"/>
  <c r="C3" i="5" a="1"/>
  <c r="C3" i="5" s="1"/>
  <c r="H9" i="14" a="1"/>
  <c r="H6" i="14" a="1"/>
  <c r="H7" i="14" a="1"/>
  <c r="H8" i="14" a="1"/>
  <c r="H11" i="14" a="1"/>
  <c r="H18" i="14" a="1"/>
  <c r="H14" i="14" a="1"/>
  <c r="H15" i="14" a="1"/>
  <c r="H19" i="14" a="1"/>
  <c r="H12" i="14" a="1"/>
  <c r="H16" i="14" a="1"/>
  <c r="H10" i="14" a="1"/>
  <c r="H13" i="14" a="1"/>
  <c r="H17" i="14" a="1"/>
  <c r="H5" i="14" a="1"/>
  <c r="C5" i="5" l="1" a="1"/>
  <c r="C5" i="5" s="1"/>
  <c r="C4" i="5" a="1"/>
  <c r="C4" i="5" s="1"/>
  <c r="H17" i="14"/>
  <c r="H13" i="14"/>
  <c r="I13" i="14" s="1" a="1"/>
  <c r="I13" i="14" s="1"/>
  <c r="H10" i="14"/>
  <c r="I10" i="14" s="1" a="1"/>
  <c r="I10" i="14" s="1"/>
  <c r="H16" i="14"/>
  <c r="H12" i="14"/>
  <c r="I12" i="14" s="1" a="1"/>
  <c r="I12" i="14" s="1"/>
  <c r="H19" i="14"/>
  <c r="H15" i="14"/>
  <c r="H14" i="14"/>
  <c r="I14" i="14" s="1" a="1"/>
  <c r="I14" i="14" s="1"/>
  <c r="H18" i="14"/>
  <c r="H11" i="14"/>
  <c r="I11" i="14" s="1" a="1"/>
  <c r="I11" i="14" s="1"/>
  <c r="H8" i="14"/>
  <c r="I8" i="14" s="1" a="1"/>
  <c r="I8" i="14" s="1"/>
  <c r="H7" i="14"/>
  <c r="I7" i="14" s="1" a="1"/>
  <c r="I7" i="14" s="1"/>
  <c r="H6" i="14"/>
  <c r="I6" i="14" s="1" a="1"/>
  <c r="I6" i="14" s="1"/>
  <c r="H9" i="14"/>
  <c r="I9" i="14" s="1" a="1"/>
  <c r="I9" i="14" s="1"/>
  <c r="H5" i="14"/>
  <c r="E8" i="14" l="1" a="1"/>
  <c r="E8" i="14" s="1"/>
  <c r="J6" i="14" a="1"/>
  <c r="J6" i="14" s="1"/>
  <c r="J7" i="14" a="1"/>
  <c r="J7" i="14" s="1"/>
  <c r="J11" i="14" a="1"/>
  <c r="J11" i="14" s="1"/>
  <c r="J12" i="14" a="1"/>
  <c r="J12" i="14" s="1"/>
  <c r="J10" i="14" a="1"/>
  <c r="J10" i="14" s="1"/>
  <c r="J8" i="14" a="1"/>
  <c r="J8" i="14" s="1"/>
  <c r="J9" i="14" a="1"/>
  <c r="J9" i="14" s="1"/>
  <c r="J14" i="14" a="1"/>
  <c r="J14" i="14" s="1"/>
  <c r="J13" i="14" a="1"/>
  <c r="J13" i="14" s="1"/>
  <c r="J5" i="14" a="1"/>
  <c r="J5" i="14" s="1"/>
  <c r="I5" i="14" a="1"/>
  <c r="I5" i="14" s="1"/>
  <c r="I4" i="14" s="1"/>
  <c r="J4" i="1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<sst xmlns="http://schemas.openxmlformats.org/spreadsheetml/2006/main" count="151" uniqueCount="104">
  <si>
    <t>WB3700 Robotics Minor Project</t>
  </si>
  <si>
    <t>AE3200 Design Synthesis</t>
  </si>
  <si>
    <t>AE1110 Introduction to Aerospace Engineering</t>
  </si>
  <si>
    <t>AE1222 Aerospace Design and Construction</t>
  </si>
  <si>
    <t>AE2111 Aerospace System Design</t>
  </si>
  <si>
    <t>WI2180LR Differential Equations, Probability Theory and Statistics</t>
  </si>
  <si>
    <t>AE2135 Structural and Vibrational Analysis and Design</t>
  </si>
  <si>
    <t>AE2230 Flight and Orbital Mechanics and Propulsion</t>
  </si>
  <si>
    <t>AE2130 Aerodynamics Sub- and Supersonic</t>
  </si>
  <si>
    <t>AE1130 Engineering Mechanics</t>
  </si>
  <si>
    <t>AE2235 Aerospace Signals, Systems and Control</t>
  </si>
  <si>
    <t>AE1240 Physics</t>
  </si>
  <si>
    <t>WI1421LR Calculus I</t>
  </si>
  <si>
    <t>AE1108 Aerospace Materials and Structures</t>
  </si>
  <si>
    <t>AE2220 Applied Numerical Analysis</t>
  </si>
  <si>
    <t>AE3211 Aerospace Systems Engineering, Design and Production</t>
  </si>
  <si>
    <t>TI3115TU Software Engineering Methods</t>
  </si>
  <si>
    <t>AE1111 Exploring Aerospace Engineering and Design</t>
  </si>
  <si>
    <t>AE1240 Calculus II</t>
  </si>
  <si>
    <t>WI1403LR Linear Algebra</t>
  </si>
  <si>
    <t>WB3702 Design in Robotics</t>
  </si>
  <si>
    <t>ET3033TU Circuit Analysis</t>
  </si>
  <si>
    <t>WB3703 Introduction to ROS</t>
  </si>
  <si>
    <t>AE1205 Programming and Scientific Computing in Python for AE1</t>
  </si>
  <si>
    <t>WB3168 Robot Mechanics</t>
  </si>
  <si>
    <t>Module</t>
  </si>
  <si>
    <t>ECTS</t>
  </si>
  <si>
    <t>Status</t>
  </si>
  <si>
    <t>AE3212-I Aerospace Flight Dynamics &amp; Simulation, incl. Flight Test</t>
  </si>
  <si>
    <t>AE3212-II Simulation, Verification &amp; Validation</t>
  </si>
  <si>
    <t>AE3211-I Systems Engineering and Aerospace Design</t>
  </si>
  <si>
    <t>AE3211-II Production of Aerospace Systems</t>
  </si>
  <si>
    <t>AE2111-I Systems Design</t>
  </si>
  <si>
    <t>AE2111-II Aerospace Design &amp; Systems Engineering Elements II</t>
  </si>
  <si>
    <t>AE2223 Test, Analysis and Simulation</t>
  </si>
  <si>
    <t>AE2130-I Aerodynamics I</t>
  </si>
  <si>
    <t>AE2130-II Low-speed Wind Tunnel Test</t>
  </si>
  <si>
    <t>AE2130-III Aerodynamics II</t>
  </si>
  <si>
    <t>AE2135-I Structural Analysis &amp; Design</t>
  </si>
  <si>
    <t>AE2135-II Vibrations</t>
  </si>
  <si>
    <t>AE2220-I Applied Numerical Analysis</t>
  </si>
  <si>
    <t>AE2223-I Test, Analysis &amp; Simulation</t>
  </si>
  <si>
    <t>AE2230-I Flight &amp; Orbital Mechanics</t>
  </si>
  <si>
    <t>AE2230-II Propulsion &amp; Power</t>
  </si>
  <si>
    <t>AE2223-II Experimental Research &amp; Data Analysis</t>
  </si>
  <si>
    <t>AE2220-II Computational Modeling</t>
  </si>
  <si>
    <t>AE2235-I Aerospace Systems and Control Theory</t>
  </si>
  <si>
    <t>AE2235-II Signal Analysis and Telecommunication Principles</t>
  </si>
  <si>
    <t>AE1111-I Exploring Aerospace Engineering</t>
  </si>
  <si>
    <t>AE1111-II Engineering Drawing</t>
  </si>
  <si>
    <t>AE1130-I Statics</t>
  </si>
  <si>
    <t>AE1108-I Aerospace Materials</t>
  </si>
  <si>
    <t>AE1110-II Introduction to Aerospace Engineering II</t>
  </si>
  <si>
    <t>AE1130-II Dynamics</t>
  </si>
  <si>
    <t>AE1108-II Aerospace Mechanics of Materials</t>
  </si>
  <si>
    <t>AE1222-I Design &amp; Construction</t>
  </si>
  <si>
    <t>AE1222-II Aerospace Design and Systems Engineering Elements I</t>
  </si>
  <si>
    <t>AE1240-I Thermodynamics</t>
  </si>
  <si>
    <t>AE1240-II Waves and Electromagnetism</t>
  </si>
  <si>
    <t>Minor</t>
  </si>
  <si>
    <t>Quarter</t>
  </si>
  <si>
    <t>Grade</t>
  </si>
  <si>
    <t>Year</t>
  </si>
  <si>
    <t>WI1421LR Calculus I-B</t>
  </si>
  <si>
    <t>WI1421LR Calculus I-A</t>
  </si>
  <si>
    <t>WI1420LR Calculus II</t>
  </si>
  <si>
    <t>WI2180LR-I Differential Equations</t>
  </si>
  <si>
    <t>WI2180LR-II Probability and Statistics</t>
  </si>
  <si>
    <t>AE3212 Aerospace Flight Dynamics, SVV including Flight Test</t>
  </si>
  <si>
    <t>Course</t>
  </si>
  <si>
    <t>Resit</t>
  </si>
  <si>
    <t>Current average</t>
  </si>
  <si>
    <t>Possible grade</t>
  </si>
  <si>
    <t>Maximum grade</t>
  </si>
  <si>
    <t>Plausible grade</t>
  </si>
  <si>
    <t>Current grade</t>
  </si>
  <si>
    <t>Q3</t>
  </si>
  <si>
    <t>Q4</t>
  </si>
  <si>
    <t>Exams</t>
  </si>
  <si>
    <t>Q1</t>
  </si>
  <si>
    <t>Q2</t>
  </si>
  <si>
    <t>AE1110-I Introduction to Aerospace Engineering I</t>
  </si>
  <si>
    <t>Current cumulative gade</t>
  </si>
  <si>
    <t>Passed</t>
  </si>
  <si>
    <t>Study time</t>
  </si>
  <si>
    <t>STUDY TIME</t>
  </si>
  <si>
    <t>Planned average</t>
  </si>
  <si>
    <t>Best case scenario</t>
  </si>
  <si>
    <t>YEAR</t>
  </si>
  <si>
    <t>BEST GRADE</t>
  </si>
  <si>
    <t>Study: start</t>
  </si>
  <si>
    <t>Study: end</t>
  </si>
  <si>
    <t>Days</t>
  </si>
  <si>
    <t>EXAM NUMBER</t>
  </si>
  <si>
    <t>max h/d</t>
  </si>
  <si>
    <t>min h/d</t>
  </si>
  <si>
    <t>Maximum possible grade</t>
  </si>
  <si>
    <t>PLANNED GRADE</t>
  </si>
  <si>
    <t>Days left</t>
  </si>
  <si>
    <t>Q5</t>
  </si>
  <si>
    <t>Planned average for Cum Laude (without Minor)</t>
  </si>
  <si>
    <t>BCS average for Cum Laude</t>
  </si>
  <si>
    <t>Maximum weight</t>
  </si>
  <si>
    <t>Possible 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</si>
</sst>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&quot;AE Year&quot;\ #"/>
    <numFmt numFmtId="165" formatCode="dd/mm;@"/>
    <numFmt numFmtId="166" formatCode="hh:mm;@"/>
    <numFmt numFmtId="167" formatCode="dd:hh:mm;@"/>
    <numFmt numFmtId="168" formatCode="&quot;Q&quot;#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3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81C3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67E7E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5E3FF"/>
        <bgColor indexed="64"/>
      </patternFill>
    </fill>
    <fill>
      <patternFill patternType="solid">
        <fgColor rgb="FF75C1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9E7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rgb="FFFF6E15"/>
      </left>
      <right/>
      <top style="medium">
        <color rgb="FFFF6E15"/>
      </top>
      <bottom/>
      <diagonal/>
    </border>
    <border>
      <left/>
      <right/>
      <top style="medium">
        <color rgb="FFFF6E15"/>
      </top>
      <bottom/>
      <diagonal/>
    </border>
    <border>
      <left/>
      <right style="medium">
        <color rgb="FFFF6E15"/>
      </right>
      <top style="medium">
        <color rgb="FFFF6E15"/>
      </top>
      <bottom/>
      <diagonal/>
    </border>
    <border>
      <left style="medium">
        <color rgb="FFFF6E15"/>
      </left>
      <right/>
      <top/>
      <bottom/>
      <diagonal/>
    </border>
    <border>
      <left/>
      <right style="medium">
        <color rgb="FFFF6E15"/>
      </right>
      <top/>
      <bottom/>
      <diagonal/>
    </border>
    <border>
      <left style="medium">
        <color rgb="FFFF6E15"/>
      </left>
      <right/>
      <top/>
      <bottom style="medium">
        <color rgb="FFFF6E15"/>
      </bottom>
      <diagonal/>
    </border>
    <border>
      <left style="medium">
        <color rgb="FFFF6E15"/>
      </left>
      <right/>
      <top style="medium">
        <color rgb="FFFF6E15"/>
      </top>
      <bottom style="medium">
        <color rgb="FFFF6E15"/>
      </bottom>
      <diagonal/>
    </border>
    <border>
      <left/>
      <right style="medium">
        <color rgb="FFFF6E15"/>
      </right>
      <top style="medium">
        <color rgb="FFFF6E15"/>
      </top>
      <bottom style="medium">
        <color rgb="FFFF6E1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0" borderId="0" xfId="0" applyProtection="1"/>
    <xf numFmtId="0" fontId="0" fillId="10" borderId="10" xfId="0" applyFill="1" applyBorder="1" applyProtection="1"/>
    <xf numFmtId="165" fontId="0" fillId="0" borderId="11" xfId="0" applyNumberFormat="1" applyBorder="1" applyProtection="1"/>
    <xf numFmtId="0" fontId="0" fillId="2" borderId="0" xfId="0" applyFill="1" applyProtection="1"/>
    <xf numFmtId="0" fontId="0" fillId="10" borderId="12" xfId="0" applyFill="1" applyBorder="1" applyAlignment="1" applyProtection="1">
      <alignment vertical="center"/>
    </xf>
    <xf numFmtId="0" fontId="0" fillId="10" borderId="0" xfId="0" applyFill="1" applyBorder="1" applyProtection="1"/>
    <xf numFmtId="165" fontId="0" fillId="0" borderId="13" xfId="0" applyNumberFormat="1" applyBorder="1" applyProtection="1"/>
    <xf numFmtId="0" fontId="0" fillId="0" borderId="13" xfId="0" applyBorder="1" applyProtection="1"/>
    <xf numFmtId="0" fontId="0" fillId="0" borderId="13" xfId="0" applyNumberFormat="1" applyBorder="1" applyProtection="1"/>
    <xf numFmtId="2" fontId="0" fillId="0" borderId="0" xfId="0" applyNumberFormat="1" applyProtection="1"/>
    <xf numFmtId="0" fontId="5" fillId="11" borderId="14" xfId="0" applyFont="1" applyFill="1" applyBorder="1" applyAlignment="1" applyProtection="1"/>
    <xf numFmtId="0" fontId="0" fillId="2" borderId="15" xfId="0" applyFont="1" applyFill="1" applyBorder="1" applyAlignment="1" applyProtection="1"/>
    <xf numFmtId="0" fontId="0" fillId="2" borderId="16" xfId="0" applyFont="1" applyFill="1" applyBorder="1" applyAlignment="1" applyProtection="1">
      <alignment horizontal="right"/>
    </xf>
    <xf numFmtId="0" fontId="0" fillId="0" borderId="0" xfId="0" applyNumberFormat="1" applyProtection="1"/>
    <xf numFmtId="0" fontId="0" fillId="0" borderId="0" xfId="0" applyBorder="1" applyProtection="1"/>
    <xf numFmtId="0" fontId="0" fillId="0" borderId="0" xfId="0" applyAlignment="1" applyProtection="1">
      <alignment horizontal="center"/>
    </xf>
    <xf numFmtId="0" fontId="0" fillId="0" borderId="0" xfId="0" applyFill="1" applyProtection="1"/>
    <xf numFmtId="0" fontId="0" fillId="0" borderId="0" xfId="0" applyFont="1" applyFill="1" applyProtection="1"/>
    <xf numFmtId="0" fontId="0" fillId="0" borderId="0" xfId="0" applyAlignment="1" applyProtection="1"/>
    <xf numFmtId="0" fontId="2" fillId="0" borderId="0" xfId="0" applyFont="1" applyProtection="1"/>
    <xf numFmtId="0" fontId="0" fillId="0" borderId="0" xfId="0" applyAlignment="1" applyProtection="1">
      <alignment vertical="center"/>
    </xf>
    <xf numFmtId="0" fontId="0" fillId="4" borderId="1" xfId="0" applyFill="1" applyBorder="1" applyProtection="1"/>
    <xf numFmtId="0" fontId="0" fillId="2" borderId="17" xfId="0" applyFill="1" applyBorder="1" applyProtection="1"/>
    <xf numFmtId="0" fontId="0" fillId="2" borderId="1" xfId="0" applyFill="1" applyBorder="1" applyProtection="1"/>
    <xf numFmtId="166" fontId="0" fillId="0" borderId="0" xfId="0" applyNumberFormat="1" applyBorder="1" applyProtection="1"/>
    <xf numFmtId="166" fontId="0" fillId="0" borderId="8" xfId="0" applyNumberFormat="1" applyBorder="1" applyProtection="1"/>
    <xf numFmtId="0" fontId="0" fillId="0" borderId="0" xfId="0" applyFill="1"/>
    <xf numFmtId="164" fontId="0" fillId="0" borderId="0" xfId="0" applyNumberFormat="1" applyFill="1" applyAlignment="1" applyProtection="1">
      <alignment horizontal="center" vertical="center"/>
    </xf>
    <xf numFmtId="167" fontId="3" fillId="4" borderId="3" xfId="0" applyNumberFormat="1" applyFont="1" applyFill="1" applyBorder="1" applyAlignment="1" applyProtection="1">
      <alignment horizontal="left"/>
    </xf>
    <xf numFmtId="167" fontId="3" fillId="2" borderId="18" xfId="0" applyNumberFormat="1" applyFont="1" applyFill="1" applyBorder="1" applyAlignment="1" applyProtection="1">
      <alignment horizontal="left"/>
    </xf>
    <xf numFmtId="0" fontId="4" fillId="0" borderId="0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right" vertical="center"/>
    </xf>
    <xf numFmtId="0" fontId="3" fillId="10" borderId="0" xfId="0" applyFont="1" applyFill="1" applyBorder="1" applyProtection="1"/>
    <xf numFmtId="164" fontId="0" fillId="0" borderId="0" xfId="0" applyNumberFormat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Fill="1" applyAlignment="1" applyProtection="1">
      <alignment horizontal="right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ont="1" applyFill="1" applyAlignment="1" applyProtection="1">
      <alignment horizontal="right"/>
    </xf>
    <xf numFmtId="0" fontId="0" fillId="0" borderId="0" xfId="0" applyFont="1" applyProtection="1"/>
    <xf numFmtId="0" fontId="0" fillId="0" borderId="0" xfId="0" applyFont="1" applyAlignment="1" applyProtection="1">
      <alignment horizontal="right"/>
    </xf>
    <xf numFmtId="0" fontId="0" fillId="0" borderId="0" xfId="0" applyFont="1" applyAlignment="1" applyProtection="1">
      <alignment horizontal="center"/>
    </xf>
    <xf numFmtId="0" fontId="0" fillId="0" borderId="1" xfId="0" applyFont="1" applyBorder="1" applyProtection="1"/>
    <xf numFmtId="2" fontId="0" fillId="0" borderId="2" xfId="0" applyNumberFormat="1" applyFont="1" applyBorder="1" applyAlignment="1" applyProtection="1">
      <alignment horizontal="right"/>
    </xf>
    <xf numFmtId="0" fontId="0" fillId="0" borderId="3" xfId="0" applyFont="1" applyBorder="1" applyProtection="1"/>
    <xf numFmtId="2" fontId="0" fillId="0" borderId="4" xfId="0" applyNumberFormat="1" applyFont="1" applyBorder="1" applyAlignment="1" applyProtection="1">
      <alignment horizontal="right"/>
    </xf>
    <xf numFmtId="0" fontId="0" fillId="2" borderId="3" xfId="0" applyFont="1" applyFill="1" applyBorder="1" applyProtection="1"/>
    <xf numFmtId="2" fontId="0" fillId="2" borderId="4" xfId="0" applyNumberFormat="1" applyFont="1" applyFill="1" applyBorder="1" applyAlignment="1" applyProtection="1">
      <alignment horizontal="right"/>
    </xf>
    <xf numFmtId="2" fontId="0" fillId="0" borderId="6" xfId="0" applyNumberFormat="1" applyFont="1" applyBorder="1" applyAlignment="1" applyProtection="1">
      <alignment horizontal="right"/>
    </xf>
    <xf numFmtId="0" fontId="0" fillId="0" borderId="0" xfId="0" applyFont="1" applyBorder="1" applyProtection="1"/>
    <xf numFmtId="2" fontId="0" fillId="0" borderId="0" xfId="0" applyNumberFormat="1" applyFont="1" applyBorder="1" applyAlignment="1" applyProtection="1">
      <alignment horizontal="right"/>
    </xf>
    <xf numFmtId="0" fontId="0" fillId="7" borderId="0" xfId="0" applyFont="1" applyFill="1" applyAlignment="1" applyProtection="1">
      <alignment horizontal="center"/>
    </xf>
    <xf numFmtId="0" fontId="0" fillId="7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center"/>
    </xf>
    <xf numFmtId="0" fontId="0" fillId="5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/>
    </xf>
    <xf numFmtId="164" fontId="0" fillId="0" borderId="0" xfId="0" applyNumberFormat="1" applyFont="1" applyAlignment="1" applyProtection="1">
      <alignment horizontal="center"/>
    </xf>
    <xf numFmtId="0" fontId="0" fillId="0" borderId="0" xfId="0" applyFont="1" applyAlignment="1" applyProtection="1">
      <alignment horizontal="right" vertical="center"/>
    </xf>
    <xf numFmtId="0" fontId="0" fillId="6" borderId="0" xfId="0" applyFont="1" applyFill="1" applyAlignment="1" applyProtection="1">
      <alignment horizontal="center"/>
    </xf>
    <xf numFmtId="0" fontId="0" fillId="6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center"/>
    </xf>
    <xf numFmtId="0" fontId="0" fillId="3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/>
    </xf>
    <xf numFmtId="0" fontId="6" fillId="0" borderId="0" xfId="0" applyFont="1" applyAlignment="1" applyProtection="1">
      <alignment horizontal="right"/>
    </xf>
    <xf numFmtId="0" fontId="0" fillId="12" borderId="0" xfId="0" applyFont="1" applyFill="1" applyAlignment="1" applyProtection="1">
      <alignment horizontal="center"/>
    </xf>
    <xf numFmtId="0" fontId="0" fillId="12" borderId="0" xfId="0" applyFont="1" applyFill="1" applyAlignment="1" applyProtection="1">
      <alignment horizontal="center" vertical="center"/>
    </xf>
    <xf numFmtId="0" fontId="0" fillId="0" borderId="8" xfId="0" applyBorder="1" applyAlignment="1" applyProtection="1">
      <alignment wrapText="1"/>
    </xf>
    <xf numFmtId="0" fontId="0" fillId="0" borderId="0" xfId="0" applyBorder="1" applyAlignment="1" applyProtection="1">
      <alignment wrapText="1"/>
    </xf>
    <xf numFmtId="168" fontId="0" fillId="10" borderId="9" xfId="0" applyNumberFormat="1" applyFill="1" applyBorder="1" applyAlignment="1" applyProtection="1">
      <alignment vertical="center"/>
    </xf>
    <xf numFmtId="0" fontId="0" fillId="13" borderId="0" xfId="0" applyFont="1" applyFill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0" fillId="4" borderId="0" xfId="0" applyFont="1" applyFill="1" applyAlignment="1" applyProtection="1">
      <alignment horizontal="center"/>
    </xf>
    <xf numFmtId="0" fontId="0" fillId="4" borderId="0" xfId="0" applyFont="1" applyFill="1" applyAlignment="1" applyProtection="1">
      <alignment horizontal="right"/>
    </xf>
    <xf numFmtId="0" fontId="4" fillId="0" borderId="2" xfId="0" applyFont="1" applyBorder="1" applyAlignment="1" applyProtection="1">
      <alignment horizontal="center" vertical="center"/>
    </xf>
    <xf numFmtId="0" fontId="4" fillId="0" borderId="4" xfId="0" applyFont="1" applyBorder="1" applyAlignment="1" applyProtection="1">
      <alignment horizontal="center" vertical="center"/>
    </xf>
    <xf numFmtId="0" fontId="4" fillId="0" borderId="6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0" fontId="4" fillId="0" borderId="8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4" fillId="0" borderId="5" xfId="0" applyFont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center" vertical="center"/>
    </xf>
    <xf numFmtId="0" fontId="0" fillId="0" borderId="5" xfId="0" applyFont="1" applyFill="1" applyBorder="1" applyProtection="1"/>
    <xf numFmtId="0" fontId="0" fillId="14" borderId="1" xfId="0" applyFont="1" applyFill="1" applyBorder="1" applyProtection="1"/>
    <xf numFmtId="2" fontId="0" fillId="14" borderId="2" xfId="0" applyNumberFormat="1" applyFont="1" applyFill="1" applyBorder="1" applyAlignment="1" applyProtection="1">
      <alignment horizontal="right"/>
    </xf>
  </cellXfs>
  <cellStyles count="1">
    <cellStyle name="Normal" xfId="0" builtinId="0"/>
  </cellStyles>
  <dxfs count="42">
    <dxf>
      <font>
        <b/>
        <i val="0"/>
        <color theme="9"/>
      </font>
      <numFmt numFmtId="169" formatCode="&quot;On track ~ &quot;\ #.##"/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A9D08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A80000"/>
      </font>
      <fill>
        <patternFill patternType="none">
          <bgColor auto="1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A9D08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A80000"/>
      </font>
      <fill>
        <patternFill patternType="none">
          <bgColor auto="1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FF4B4B"/>
        </patternFill>
      </fill>
    </dxf>
    <dxf>
      <fill>
        <patternFill>
          <bgColor theme="9" tint="0.79998168889431442"/>
        </patternFill>
      </fill>
    </dxf>
    <dxf>
      <fill>
        <patternFill>
          <bgColor rgb="FFFFD5D5"/>
        </patternFill>
      </fill>
    </dxf>
    <dxf>
      <fill>
        <patternFill>
          <bgColor rgb="FFFF4B4B"/>
        </patternFill>
      </fill>
    </dxf>
    <dxf>
      <fill>
        <patternFill>
          <bgColor rgb="FFD3EDD8"/>
        </patternFill>
      </fill>
    </dxf>
    <dxf>
      <fill>
        <patternFill>
          <bgColor rgb="FFEDD3D3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57B3FF"/>
        </patternFill>
      </fill>
    </dxf>
    <dxf>
      <fill>
        <patternFill>
          <bgColor theme="9" tint="0.39994506668294322"/>
        </patternFill>
      </fill>
    </dxf>
    <dxf>
      <fill>
        <patternFill>
          <bgColor theme="1"/>
        </patternFill>
      </fill>
    </dxf>
    <dxf>
      <fill>
        <patternFill>
          <bgColor rgb="FFBDE5D0"/>
        </patternFill>
      </fill>
    </dxf>
    <dxf>
      <fill>
        <patternFill>
          <bgColor rgb="FFE6BCBC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57B3FF"/>
        </patternFill>
      </fill>
    </dxf>
    <dxf>
      <fill>
        <patternFill>
          <bgColor rgb="FFA9D08E"/>
        </patternFill>
      </fill>
    </dxf>
    <dxf>
      <fill>
        <patternFill>
          <bgColor rgb="FF81C3FF"/>
        </patternFill>
      </fill>
    </dxf>
    <dxf>
      <fill>
        <patternFill>
          <bgColor rgb="FFF67E7E"/>
        </patternFill>
      </fill>
    </dxf>
    <dxf>
      <fill>
        <patternFill>
          <bgColor theme="9" tint="0.39994506668294322"/>
        </patternFill>
      </fill>
    </dxf>
    <dxf>
      <fill>
        <patternFill>
          <bgColor rgb="FF6DC7FF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</dxf>
  </dxfs>
  <tableStyles count="1" defaultTableStyle="TableStyleMedium2" defaultPivotStyle="PivotStyleLight16">
    <tableStyle name="Table Style 1" pivot="0" count="0" xr9:uid="{7B7564B0-7E52-4C20-B9F6-866ABE2F44A1}"/>
  </tableStyles>
  <colors>
    <mruColors>
      <color rgb="FFFFF9E7"/>
      <color rgb="FFF67E7E"/>
      <color rgb="FFFFD5D5"/>
      <color rgb="FFFEE3AC"/>
      <color rgb="FFEFEADB"/>
      <color rgb="FFA80000"/>
      <color rgb="FF600000"/>
      <color rgb="FFA20000"/>
      <color rgb="FFA9D08E"/>
      <color rgb="FFFF4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EA008-0E6E-4B60-912C-4A6B3132B97F}">
  <sheetPr codeName="Sheet6"/>
  <dimension ref="C3:K32"/>
  <sheetViews>
    <sheetView zoomScale="85" zoomScaleNormal="85" workbookViewId="0">
      <selection activeCell="H20" sqref="H20"/>
    </sheetView>
  </sheetViews>
  <sheetFormatPr defaultRowHeight="14.3" x14ac:dyDescent="0.25"/>
  <cols>
    <col min="1" max="2" width="9" style="1"/>
    <col min="3" max="3" width="9" style="1" customWidth="1"/>
    <col min="4" max="4" width="14.125" style="1" customWidth="1"/>
    <col min="5" max="5" width="5.875" style="1" customWidth="1"/>
    <col min="6" max="6" width="4.375" style="1" customWidth="1"/>
    <col min="7" max="7" width="9" style="1"/>
    <col min="8" max="8" width="55.5" style="1" customWidth="1"/>
    <col min="9" max="10" width="8.875" style="1" customWidth="1"/>
    <col min="11" max="16384" width="9" style="1"/>
  </cols>
  <sheetData>
    <row r="3" spans="3:11" ht="14.95" customHeight="1" thickBot="1" x14ac:dyDescent="0.3">
      <c r="I3" s="22" t="s">
        <v>94</v>
      </c>
      <c r="J3" s="23" t="s">
        <v>95</v>
      </c>
    </row>
    <row r="4" spans="3:11" ht="14.95" customHeight="1" x14ac:dyDescent="0.25">
      <c r="C4" s="71">
        <v>4</v>
      </c>
      <c r="D4" s="2" t="s">
        <v>90</v>
      </c>
      <c r="E4" s="3">
        <v>44321</v>
      </c>
      <c r="H4" s="24" t="s">
        <v>69</v>
      </c>
      <c r="I4" s="29">
        <f ca="1">SUM(I5:I104)</f>
        <v>0</v>
      </c>
      <c r="J4" s="30">
        <f ca="1">SUM(J5:J104)</f>
        <v>0</v>
      </c>
    </row>
    <row r="5" spans="3:11" ht="14.95" customHeight="1" x14ac:dyDescent="0.25">
      <c r="C5" s="5"/>
      <c r="D5" s="6" t="s">
        <v>91</v>
      </c>
      <c r="E5" s="7">
        <v>44369</v>
      </c>
      <c r="H5" s="69" t="str" cm="1">
        <f t="array" aca="1" ref="H5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AE1240-II Waves and Electromagnetism</v>
      </c>
      <c r="I5" s="26" t="str" cm="1">
        <f t="array" aca="1" ref="I5" ca="1">IF(
AND(NOT(ISBLANK(H5)),
NOT(ISERROR(
_xlfn._xlws.FILTER(_xlfn._xlws.FILTER(Courses!$B$2:$N$46, IF(NOT(ISERROR(SEARCH(H5, Courses!$B$2:$B$46, 1))), TRUE, FALSE)), {0,0,0,1,0,0,0,0,0,0,0,0,0,0,0})*28
*_xlfn._xlws.FILTER(_xlfn._xlws.FILTER(Courses!$B$2:$N$46, IF(NOT(ISERROR(SEARCH(H5, Courses!$B$2:$B$46, 1))), TRUE, FALSE)), {0,0,0,0,0,0,0,1,0,0,0,0,0,0,0})/10
/E$6
/24))),
_xlfn._xlws.FILTER(_xlfn._xlws.FILTER(Courses!$B$2:$N$46, IF(NOT(ISERROR(SEARCH(H5, Courses!$B$2:$B$46, 1))), TRUE, FALSE)), {0,0,0,1,0,0,0,0,0,0,0,0,0,0,0})*28
*_xlfn._xlws.FILTER(_xlfn._xlws.FILTER(Courses!$B$2:$N$46, IF(NOT(ISERROR(SEARCH(H5, Courses!$B$2:$B$46, 1))), TRUE, FALSE)), {0,0,0,0,0,0,0,1,0,0,0,0,0,0,0})/10
/E$6
/24,
"")</f>
        <v/>
      </c>
      <c r="J5" s="26" t="str" cm="1">
        <f t="array" aca="1" ref="J5" ca="1">IF(AND(
NOT(ISBLANK(H5)),
NOT(ISERROR(_xlfn._xlws.FILTER(_xlfn._xlws.FILTER(Courses!$B$2:$N$46, IF(NOT(ISERROR(SEARCH(H5, Courses!$B$2:$B$46, 1))), TRUE, FALSE)), {0,0,0,0,0,0,0,0,0,0,0,0,1,0,0})
/E$6
/24))),
_xlfn._xlws.FILTER(_xlfn._xlws.FILTER(Courses!$B$2:$N$46, IF(NOT(ISERROR(SEARCH(H5, Courses!$B$2:$B$46, 1))), TRUE, FALSE)), {0,0,0,0,0,0,0,0,0,0,0,0,1,0,0})
/E$6
/24,
"")</f>
        <v/>
      </c>
    </row>
    <row r="6" spans="3:11" x14ac:dyDescent="0.25">
      <c r="C6" s="5"/>
      <c r="D6" s="6" t="s">
        <v>92</v>
      </c>
      <c r="E6" s="8">
        <f>E5-E4</f>
        <v>48</v>
      </c>
      <c r="H6" s="70" t="str" cm="1">
        <f t="array" aca="1" ref="H6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AE1240-I Thermodynamics</v>
      </c>
      <c r="I6" s="25" t="str" cm="1">
        <f t="array" aca="1" ref="I6" ca="1">IF(
AND(NOT(ISBLANK(H6)),
NOT(ISERROR(
_xlfn._xlws.FILTER(_xlfn._xlws.FILTER(Courses!$B$2:$N$46, IF(NOT(ISERROR(SEARCH(H6, Courses!$B$2:$B$46, 1))), TRUE, FALSE)), {0,0,0,1,0,0,0,0,0,0,0,0,0,0,0})*28
*_xlfn._xlws.FILTER(_xlfn._xlws.FILTER(Courses!$B$2:$N$46, IF(NOT(ISERROR(SEARCH(H6, Courses!$B$2:$B$46, 1))), TRUE, FALSE)), {0,0,0,0,0,0,0,1,0,0,0,0,0,0,0})/10
/E$6
/24))),
_xlfn._xlws.FILTER(_xlfn._xlws.FILTER(Courses!$B$2:$N$46, IF(NOT(ISERROR(SEARCH(H6, Courses!$B$2:$B$46, 1))), TRUE, FALSE)), {0,0,0,1,0,0,0,0,0,0,0,0,0,0,0})*28
*_xlfn._xlws.FILTER(_xlfn._xlws.FILTER(Courses!$B$2:$N$46, IF(NOT(ISERROR(SEARCH(H6, Courses!$B$2:$B$46, 1))), TRUE, FALSE)), {0,0,0,0,0,0,0,1,0,0,0,0,0,0,0})/10
/E$6
/24,
"")</f>
        <v/>
      </c>
      <c r="J6" s="25" t="str" cm="1">
        <f t="array" aca="1" ref="J6" ca="1">IF(AND(
NOT(ISBLANK(H6)),
NOT(ISERROR(_xlfn._xlws.FILTER(_xlfn._xlws.FILTER(Courses!$B$2:$N$46, IF(NOT(ISERROR(SEARCH(H6, Courses!$B$2:$B$46, 1))), TRUE, FALSE)), {0,0,0,0,0,0,0,0,0,0,0,0,1,0,0})
/E$6
/24))),
_xlfn._xlws.FILTER(_xlfn._xlws.FILTER(Courses!$B$2:$N$46, IF(NOT(ISERROR(SEARCH(H6, Courses!$B$2:$B$46, 1))), TRUE, FALSE)), {0,0,0,0,0,0,0,0,0,0,0,0,1,0,0})
/E$6
/24,
"")</f>
        <v/>
      </c>
    </row>
    <row r="7" spans="3:11" ht="14.95" thickBot="1" x14ac:dyDescent="0.3">
      <c r="C7" s="5"/>
      <c r="D7" s="33" t="s">
        <v>98</v>
      </c>
      <c r="E7" s="9">
        <f ca="1">E5-TODAY()</f>
        <v>35</v>
      </c>
      <c r="F7" s="10"/>
      <c r="H7" s="70" t="str" cm="1">
        <f t="array" aca="1" ref="H7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AE1205 Programming and Scientific Computing in Python for AE1</v>
      </c>
      <c r="I7" s="25" t="str" cm="1">
        <f t="array" aca="1" ref="I7" ca="1">IF(
AND(NOT(ISBLANK(H7)),
NOT(ISERROR(
_xlfn._xlws.FILTER(_xlfn._xlws.FILTER(Courses!$B$2:$N$46, IF(NOT(ISERROR(SEARCH(H7, Courses!$B$2:$B$46, 1))), TRUE, FALSE)), {0,0,0,1,0,0,0,0,0,0,0,0,0,0,0})*28
*_xlfn._xlws.FILTER(_xlfn._xlws.FILTER(Courses!$B$2:$N$46, IF(NOT(ISERROR(SEARCH(H7, Courses!$B$2:$B$46, 1))), TRUE, FALSE)), {0,0,0,0,0,0,0,1,0,0,0,0,0,0,0})/10
/E$6
/24))),
_xlfn._xlws.FILTER(_xlfn._xlws.FILTER(Courses!$B$2:$N$46, IF(NOT(ISERROR(SEARCH(H7, Courses!$B$2:$B$46, 1))), TRUE, FALSE)), {0,0,0,1,0,0,0,0,0,0,0,0,0,0,0})*28
*_xlfn._xlws.FILTER(_xlfn._xlws.FILTER(Courses!$B$2:$N$46, IF(NOT(ISERROR(SEARCH(H7, Courses!$B$2:$B$46, 1))), TRUE, FALSE)), {0,0,0,0,0,0,0,1,0,0,0,0,0,0,0})/10
/E$6
/24,
"")</f>
        <v/>
      </c>
      <c r="J7" s="25" t="str" cm="1">
        <f t="array" aca="1" ref="J7" ca="1">IF(AND(
NOT(ISBLANK(H7)),
NOT(ISERROR(_xlfn._xlws.FILTER(_xlfn._xlws.FILTER(Courses!$B$2:$N$46, IF(NOT(ISERROR(SEARCH(H7, Courses!$B$2:$B$46, 1))), TRUE, FALSE)), {0,0,0,0,0,0,0,0,0,0,0,0,1,0,0})
/E$6
/24))),
_xlfn._xlws.FILTER(_xlfn._xlws.FILTER(Courses!$B$2:$N$46, IF(NOT(ISERROR(SEARCH(H7, Courses!$B$2:$B$46, 1))), TRUE, FALSE)), {0,0,0,0,0,0,0,0,0,0,0,0,1,0,0})
/E$6
/24,
"")</f>
        <v/>
      </c>
    </row>
    <row r="8" spans="3:11" ht="14.95" thickBot="1" x14ac:dyDescent="0.3">
      <c r="C8" s="11"/>
      <c r="D8" s="12" t="s">
        <v>93</v>
      </c>
      <c r="E8" s="13" cm="1">
        <f t="array" aca="1" ref="E8" ca="1">COUNTA(_xlfn._xlws.FILTER(H5:H19, (NOT(H5:H19 = "No more exams available"))))</f>
        <v>15</v>
      </c>
      <c r="H8" s="70" t="str" cm="1">
        <f t="array" aca="1" ref="H8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WI1420LR Calculus II</v>
      </c>
      <c r="I8" s="25" t="str" cm="1">
        <f t="array" aca="1" ref="I8" ca="1">IF(
AND(NOT(ISBLANK(H8)),
NOT(ISERROR(
_xlfn._xlws.FILTER(_xlfn._xlws.FILTER(Courses!$B$2:$N$46, IF(NOT(ISERROR(SEARCH(H8, Courses!$B$2:$B$46, 1))), TRUE, FALSE)), {0,0,0,1,0,0,0,0,0,0,0,0,0,0,0})*28
*_xlfn._xlws.FILTER(_xlfn._xlws.FILTER(Courses!$B$2:$N$46, IF(NOT(ISERROR(SEARCH(H8, Courses!$B$2:$B$46, 1))), TRUE, FALSE)), {0,0,0,0,0,0,0,1,0,0,0,0,0,0,0})/10
/E$6
/24))),
_xlfn._xlws.FILTER(_xlfn._xlws.FILTER(Courses!$B$2:$N$46, IF(NOT(ISERROR(SEARCH(H8, Courses!$B$2:$B$46, 1))), TRUE, FALSE)), {0,0,0,1,0,0,0,0,0,0,0,0,0,0,0})*28
*_xlfn._xlws.FILTER(_xlfn._xlws.FILTER(Courses!$B$2:$N$46, IF(NOT(ISERROR(SEARCH(H8, Courses!$B$2:$B$46, 1))), TRUE, FALSE)), {0,0,0,0,0,0,0,1,0,0,0,0,0,0,0})/10
/E$6
/24,
"")</f>
        <v/>
      </c>
      <c r="J8" s="25" t="str" cm="1">
        <f t="array" aca="1" ref="J8" ca="1">IF(AND(
NOT(ISBLANK(H8)),
NOT(ISERROR(_xlfn._xlws.FILTER(_xlfn._xlws.FILTER(Courses!$B$2:$N$46, IF(NOT(ISERROR(SEARCH(H8, Courses!$B$2:$B$46, 1))), TRUE, FALSE)), {0,0,0,0,0,0,0,0,0,0,0,0,1,0,0})
/E$6
/24))),
_xlfn._xlws.FILTER(_xlfn._xlws.FILTER(Courses!$B$2:$N$46, IF(NOT(ISERROR(SEARCH(H8, Courses!$B$2:$B$46, 1))), TRUE, FALSE)), {0,0,0,0,0,0,0,0,0,0,0,0,1,0,0})
/E$6
/24,
"")</f>
        <v/>
      </c>
    </row>
    <row r="9" spans="3:11" x14ac:dyDescent="0.25">
      <c r="H9" s="70" t="str" cm="1">
        <f t="array" aca="1" ref="H9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9" s="25" t="str" cm="1">
        <f t="array" aca="1" ref="I9" ca="1">IF(
AND(NOT(ISBLANK(H9)),
NOT(ISERROR(
_xlfn._xlws.FILTER(_xlfn._xlws.FILTER(Courses!$B$2:$N$46, IF(NOT(ISERROR(SEARCH(H9, Courses!$B$2:$B$46, 1))), TRUE, FALSE)), {0,0,0,1,0,0,0,0,0,0,0,0,0,0,0})*28
*_xlfn._xlws.FILTER(_xlfn._xlws.FILTER(Courses!$B$2:$N$46, IF(NOT(ISERROR(SEARCH(H9, Courses!$B$2:$B$46, 1))), TRUE, FALSE)), {0,0,0,0,0,0,0,1,0,0,0,0,0,0,0})/10
/E$6
/24))),
_xlfn._xlws.FILTER(_xlfn._xlws.FILTER(Courses!$B$2:$N$46, IF(NOT(ISERROR(SEARCH(H9, Courses!$B$2:$B$46, 1))), TRUE, FALSE)), {0,0,0,1,0,0,0,0,0,0,0,0,0,0,0})*28
*_xlfn._xlws.FILTER(_xlfn._xlws.FILTER(Courses!$B$2:$N$46, IF(NOT(ISERROR(SEARCH(H9, Courses!$B$2:$B$46, 1))), TRUE, FALSE)), {0,0,0,0,0,0,0,1,0,0,0,0,0,0,0})/10
/E$6
/24,
"")</f>
        <v/>
      </c>
      <c r="J9" s="25" t="str" cm="1">
        <f t="array" aca="1" ref="J9" ca="1">IF(AND(
NOT(ISBLANK(H9)),
NOT(ISERROR(_xlfn._xlws.FILTER(_xlfn._xlws.FILTER(Courses!$B$2:$N$46, IF(NOT(ISERROR(SEARCH(H9, Courses!$B$2:$B$46, 1))), TRUE, FALSE)), {0,0,0,0,0,0,0,0,0,0,0,0,1,0,0})
/E$6
/24))),
_xlfn._xlws.FILTER(_xlfn._xlws.FILTER(Courses!$B$2:$N$46, IF(NOT(ISERROR(SEARCH(H9, Courses!$B$2:$B$46, 1))), TRUE, FALSE)), {0,0,0,0,0,0,0,0,0,0,0,0,1,0,0})
/E$6
/24,
"")</f>
        <v/>
      </c>
      <c r="K9" s="14"/>
    </row>
    <row r="10" spans="3:11" x14ac:dyDescent="0.25">
      <c r="H10" s="70" t="str" cm="1">
        <f t="array" aca="1" ref="H10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0" s="25" t="str" cm="1">
        <f t="array" aca="1" ref="I10" ca="1">IF(
AND(NOT(ISBLANK(H10)),
NOT(ISERROR(
_xlfn._xlws.FILTER(_xlfn._xlws.FILTER(Courses!$B$2:$N$46, IF(NOT(ISERROR(SEARCH(H10, Courses!$B$2:$B$46, 1))), TRUE, FALSE)), {0,0,0,1,0,0,0,0,0,0,0,0,0,0,0})*28
*_xlfn._xlws.FILTER(_xlfn._xlws.FILTER(Courses!$B$2:$N$46, IF(NOT(ISERROR(SEARCH(H10, Courses!$B$2:$B$46, 1))), TRUE, FALSE)), {0,0,0,0,0,0,0,1,0,0,0,0,0,0,0})/10
/E$6
/24))),
_xlfn._xlws.FILTER(_xlfn._xlws.FILTER(Courses!$B$2:$N$46, IF(NOT(ISERROR(SEARCH(H10, Courses!$B$2:$B$46, 1))), TRUE, FALSE)), {0,0,0,1,0,0,0,0,0,0,0,0,0,0,0})*28
*_xlfn._xlws.FILTER(_xlfn._xlws.FILTER(Courses!$B$2:$N$46, IF(NOT(ISERROR(SEARCH(H10, Courses!$B$2:$B$46, 1))), TRUE, FALSE)), {0,0,0,0,0,0,0,1,0,0,0,0,0,0,0})/10
/E$6
/24,
"")</f>
        <v/>
      </c>
      <c r="J10" s="25" t="str" cm="1">
        <f t="array" aca="1" ref="J10" ca="1">IF(AND(
NOT(ISBLANK(H10)),
NOT(ISERROR(_xlfn._xlws.FILTER(_xlfn._xlws.FILTER(Courses!$B$2:$N$46, IF(NOT(ISERROR(SEARCH(H10, Courses!$B$2:$B$46, 1))), TRUE, FALSE)), {0,0,0,0,0,0,0,0,0,0,0,0,1,0,0})
/E$6
/24))),
_xlfn._xlws.FILTER(_xlfn._xlws.FILTER(Courses!$B$2:$N$46, IF(NOT(ISERROR(SEARCH(H10, Courses!$B$2:$B$46, 1))), TRUE, FALSE)), {0,0,0,0,0,0,0,0,0,0,0,0,1,0,0})
/E$6
/24,
"")</f>
        <v/>
      </c>
    </row>
    <row r="11" spans="3:11" x14ac:dyDescent="0.25">
      <c r="H11" s="70" t="str" cm="1">
        <f t="array" aca="1" ref="H11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1" s="25" t="str" cm="1">
        <f t="array" aca="1" ref="I11" ca="1">IF(
AND(NOT(ISBLANK(H11)),
NOT(ISERROR(
_xlfn._xlws.FILTER(_xlfn._xlws.FILTER(Courses!$B$2:$N$46, IF(NOT(ISERROR(SEARCH(H11, Courses!$B$2:$B$46, 1))), TRUE, FALSE)), {0,0,0,1,0,0,0,0,0,0,0,0,0,0,0})*28
*_xlfn._xlws.FILTER(_xlfn._xlws.FILTER(Courses!$B$2:$N$46, IF(NOT(ISERROR(SEARCH(H11, Courses!$B$2:$B$46, 1))), TRUE, FALSE)), {0,0,0,0,0,0,0,1,0,0,0,0,0,0,0})/10
/E$7
/24))),
_xlfn._xlws.FILTER(_xlfn._xlws.FILTER(Courses!$B$2:$N$46, IF(NOT(ISERROR(SEARCH(H11, Courses!$B$2:$B$46, 1))), TRUE, FALSE)), {0,0,0,1,0,0,0,0,0,0,0,0,0,0,0})*28
*_xlfn._xlws.FILTER(_xlfn._xlws.FILTER(Courses!$B$2:$N$46, IF(NOT(ISERROR(SEARCH(H11, Courses!$B$2:$B$46, 1))), TRUE, FALSE)), {0,0,0,0,0,0,0,1,0,0,0,0,0,0,0})/10
/E$7
/24,
"")</f>
        <v/>
      </c>
      <c r="J11" s="25" t="str" cm="1">
        <f t="array" aca="1" ref="J11" ca="1">IF(AND(
NOT(ISBLANK(H11)),
NOT(ISERROR(_xlfn._xlws.FILTER(_xlfn._xlws.FILTER(Courses!$B$2:$N$46, IF(NOT(ISERROR(SEARCH(H11, Courses!$B$2:$B$46, 1))), TRUE, FALSE)), {0,0,0,0,0,0,0,0,0,0,0,0,1,0,0})
/E$6
/24))),
_xlfn._xlws.FILTER(_xlfn._xlws.FILTER(Courses!$B$2:$N$46, IF(NOT(ISERROR(SEARCH(H11, Courses!$B$2:$B$46, 1))), TRUE, FALSE)), {0,0,0,0,0,0,0,0,0,0,0,0,1,0,0})
/E$6
/24,
"")</f>
        <v/>
      </c>
    </row>
    <row r="12" spans="3:11" x14ac:dyDescent="0.25">
      <c r="H12" s="70" t="str" cm="1">
        <f t="array" aca="1" ref="H12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2" s="25" t="str" cm="1">
        <f t="array" aca="1" ref="I12" ca="1">IF(
AND(NOT(ISBLANK(H12)),
NOT(ISERROR(
_xlfn._xlws.FILTER(_xlfn._xlws.FILTER(Courses!$B$2:$N$46, IF(NOT(ISERROR(SEARCH(H12, Courses!$B$2:$B$46, 1))), TRUE, FALSE)), {0,0,0,1,0,0,0,0,0,0,0,0,0,0,0})*28
*_xlfn._xlws.FILTER(_xlfn._xlws.FILTER(Courses!$B$2:$N$46, IF(NOT(ISERROR(SEARCH(H12, Courses!$B$2:$B$46, 1))), TRUE, FALSE)), {0,0,0,0,0,0,0,1,0,0,0,0,0,0,0})/10
/E$7
/24))),
_xlfn._xlws.FILTER(_xlfn._xlws.FILTER(Courses!$B$2:$N$46, IF(NOT(ISERROR(SEARCH(H12, Courses!$B$2:$B$46, 1))), TRUE, FALSE)), {0,0,0,1,0,0,0,0,0,0,0,0,0,0,0})*28
*_xlfn._xlws.FILTER(_xlfn._xlws.FILTER(Courses!$B$2:$N$46, IF(NOT(ISERROR(SEARCH(H12, Courses!$B$2:$B$46, 1))), TRUE, FALSE)), {0,0,0,0,0,0,0,1,0,0,0,0,0,0,0})/10
/E$7
/24,
"")</f>
        <v/>
      </c>
      <c r="J12" s="25" t="str" cm="1">
        <f t="array" aca="1" ref="J12" ca="1">IF(AND(
NOT(ISBLANK(H12)),
NOT(ISERROR(_xlfn._xlws.FILTER(_xlfn._xlws.FILTER(Courses!$B$2:$N$46, IF(NOT(ISERROR(SEARCH(H12, Courses!$B$2:$B$46, 1))), TRUE, FALSE)), {0,0,0,0,0,0,0,0,0,0,0,0,1,0,0})
/E$6
/24))),
_xlfn._xlws.FILTER(_xlfn._xlws.FILTER(Courses!$B$2:$N$46, IF(NOT(ISERROR(SEARCH(H12, Courses!$B$2:$B$46, 1))), TRUE, FALSE)), {0,0,0,0,0,0,0,0,0,0,0,0,1,0,0})
/E$6
/24,
"")</f>
        <v/>
      </c>
    </row>
    <row r="13" spans="3:11" x14ac:dyDescent="0.25">
      <c r="H13" s="70" t="str" cm="1">
        <f t="array" aca="1" ref="H13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3" s="25" t="str" cm="1">
        <f t="array" aca="1" ref="I13" ca="1">IF(
AND(NOT(ISBLANK(H13)),
NOT(ISERROR(
_xlfn._xlws.FILTER(_xlfn._xlws.FILTER(Courses!$B$2:$N$46, IF(NOT(ISERROR(SEARCH(H13, Courses!$B$2:$B$46, 1))), TRUE, FALSE)), {0,0,0,1,0,0,0,0,0,0,0,0,0,0,0})*28
*_xlfn._xlws.FILTER(_xlfn._xlws.FILTER(Courses!$B$2:$N$46, IF(NOT(ISERROR(SEARCH(H13, Courses!$B$2:$B$46, 1))), TRUE, FALSE)), {0,0,0,0,0,0,0,1,0,0,0,0,0,0,0})/10
/E$7
/24))),
_xlfn._xlws.FILTER(_xlfn._xlws.FILTER(Courses!$B$2:$N$46, IF(NOT(ISERROR(SEARCH(H13, Courses!$B$2:$B$46, 1))), TRUE, FALSE)), {0,0,0,1,0,0,0,0,0,0,0,0,0,0,0})*28
*_xlfn._xlws.FILTER(_xlfn._xlws.FILTER(Courses!$B$2:$N$46, IF(NOT(ISERROR(SEARCH(H13, Courses!$B$2:$B$46, 1))), TRUE, FALSE)), {0,0,0,0,0,0,0,1,0,0,0,0,0,0,0})/10
/E$7
/24,
"")</f>
        <v/>
      </c>
      <c r="J13" s="25" t="str" cm="1">
        <f t="array" aca="1" ref="J13" ca="1">IF(AND(
NOT(ISBLANK(H13)),
NOT(ISERROR(_xlfn._xlws.FILTER(_xlfn._xlws.FILTER(Courses!$B$2:$N$46, IF(NOT(ISERROR(SEARCH(H13, Courses!$B$2:$B$46, 1))), TRUE, FALSE)), {0,0,0,0,0,0,0,0,0,0,0,0,1,0,0})
/E$6
/24))),
_xlfn._xlws.FILTER(_xlfn._xlws.FILTER(Courses!$B$2:$N$46, IF(NOT(ISERROR(SEARCH(H13, Courses!$B$2:$B$46, 1))), TRUE, FALSE)), {0,0,0,0,0,0,0,0,0,0,0,0,1,0,0})
/E$6
/24,
"")</f>
        <v/>
      </c>
    </row>
    <row r="14" spans="3:11" x14ac:dyDescent="0.25">
      <c r="H14" s="70" t="str" cm="1">
        <f t="array" aca="1" ref="H14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4" s="25" t="str" cm="1">
        <f t="array" aca="1" ref="I14" ca="1">IF(
AND(NOT(ISBLANK(H14)),
NOT(ISERROR(
_xlfn._xlws.FILTER(_xlfn._xlws.FILTER(Courses!$B$2:$N$46, IF(NOT(ISERROR(SEARCH(H14, Courses!$B$2:$B$46, 1))), TRUE, FALSE)), {0,0,0,1,0,0,0,0,0,0,0,0,0,0,0})*28
*_xlfn._xlws.FILTER(_xlfn._xlws.FILTER(Courses!$B$2:$N$46, IF(NOT(ISERROR(SEARCH(H14, Courses!$B$2:$B$46, 1))), TRUE, FALSE)), {0,0,0,0,0,0,0,1,0,0,0,0,0,0,0})/10
/E$7
/24))),
_xlfn._xlws.FILTER(_xlfn._xlws.FILTER(Courses!$B$2:$N$46, IF(NOT(ISERROR(SEARCH(H14, Courses!$B$2:$B$46, 1))), TRUE, FALSE)), {0,0,0,1,0,0,0,0,0,0,0,0,0,0,0})*28
*_xlfn._xlws.FILTER(_xlfn._xlws.FILTER(Courses!$B$2:$N$46, IF(NOT(ISERROR(SEARCH(H14, Courses!$B$2:$B$46, 1))), TRUE, FALSE)), {0,0,0,0,0,0,0,1,0,0,0,0,0,0,0})/10
/E$7
/24,
"")</f>
        <v/>
      </c>
      <c r="J14" s="25" t="str" cm="1">
        <f t="array" aca="1" ref="J14" ca="1">IF(AND(
NOT(ISBLANK(H14)),
NOT(ISERROR(_xlfn._xlws.FILTER(_xlfn._xlws.FILTER(Courses!$B$2:$N$46, IF(NOT(ISERROR(SEARCH(H14, Courses!$B$2:$B$46, 1))), TRUE, FALSE)), {0,0,0,0,0,0,0,0,0,0,0,0,1,0,0})
/E$6
/24))),
_xlfn._xlws.FILTER(_xlfn._xlws.FILTER(Courses!$B$2:$N$46, IF(NOT(ISERROR(SEARCH(H14, Courses!$B$2:$B$46, 1))), TRUE, FALSE)), {0,0,0,0,0,0,0,0,0,0,0,0,1,0,0})
/E$6
/24,
"")</f>
        <v/>
      </c>
    </row>
    <row r="15" spans="3:11" x14ac:dyDescent="0.25">
      <c r="H15" s="70" t="str" cm="1">
        <f t="array" aca="1" ref="H15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5" s="25"/>
      <c r="J15" s="25"/>
    </row>
    <row r="16" spans="3:11" x14ac:dyDescent="0.25">
      <c r="H16" s="70" t="str" cm="1">
        <f t="array" aca="1" ref="H16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6" s="25"/>
      <c r="J16" s="25"/>
    </row>
    <row r="17" spans="8:10" x14ac:dyDescent="0.25">
      <c r="H17" s="70" t="str" cm="1">
        <f t="array" aca="1" ref="H17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7" s="25"/>
      <c r="J17" s="25"/>
    </row>
    <row r="18" spans="8:10" x14ac:dyDescent="0.25">
      <c r="H18" s="70" t="str" cm="1">
        <f t="array" aca="1" ref="H18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8" s="25"/>
      <c r="J18" s="25"/>
    </row>
    <row r="19" spans="8:10" x14ac:dyDescent="0.25">
      <c r="H19" s="70" t="str" cm="1">
        <f t="array" aca="1" ref="H19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9" s="25"/>
      <c r="J19" s="25"/>
    </row>
    <row r="20" spans="8:10" x14ac:dyDescent="0.25">
      <c r="H20" s="15"/>
      <c r="I20" s="25"/>
      <c r="J20" s="25"/>
    </row>
    <row r="21" spans="8:10" x14ac:dyDescent="0.25">
      <c r="H21" s="15"/>
      <c r="I21" s="25"/>
      <c r="J21" s="25"/>
    </row>
    <row r="22" spans="8:10" x14ac:dyDescent="0.25">
      <c r="H22" s="15"/>
      <c r="I22" s="25"/>
      <c r="J22" s="25"/>
    </row>
    <row r="23" spans="8:10" x14ac:dyDescent="0.25">
      <c r="H23" s="15"/>
      <c r="I23" s="25"/>
      <c r="J23" s="25"/>
    </row>
    <row r="24" spans="8:10" x14ac:dyDescent="0.25">
      <c r="H24" s="15"/>
      <c r="I24" s="25"/>
      <c r="J24" s="25"/>
    </row>
    <row r="25" spans="8:10" x14ac:dyDescent="0.25">
      <c r="H25" s="15"/>
      <c r="I25" s="25"/>
      <c r="J25" s="25"/>
    </row>
    <row r="26" spans="8:10" x14ac:dyDescent="0.25">
      <c r="H26" s="15"/>
      <c r="I26" s="25"/>
      <c r="J26" s="25"/>
    </row>
    <row r="27" spans="8:10" x14ac:dyDescent="0.25">
      <c r="H27" s="15"/>
      <c r="I27" s="25"/>
      <c r="J27" s="25"/>
    </row>
    <row r="28" spans="8:10" x14ac:dyDescent="0.25">
      <c r="H28" s="15"/>
      <c r="I28" s="25"/>
      <c r="J28" s="25"/>
    </row>
    <row r="29" spans="8:10" x14ac:dyDescent="0.25">
      <c r="H29" s="15"/>
      <c r="I29" s="25"/>
      <c r="J29" s="25"/>
    </row>
    <row r="30" spans="8:10" x14ac:dyDescent="0.25">
      <c r="H30" s="15"/>
      <c r="I30" s="25"/>
      <c r="J30" s="25"/>
    </row>
    <row r="31" spans="8:10" x14ac:dyDescent="0.25">
      <c r="H31" s="15"/>
      <c r="I31" s="25"/>
      <c r="J31" s="25"/>
    </row>
    <row r="32" spans="8:10" x14ac:dyDescent="0.25">
      <c r="H32" s="15"/>
      <c r="I32" s="25"/>
    </row>
  </sheetData>
  <conditionalFormatting sqref="C4">
    <cfRule type="colorScale" priority="20">
      <colorScale>
        <cfvo type="min"/>
        <cfvo type="percentile" val="50"/>
        <cfvo type="max"/>
        <color theme="0" tint="-4.9989318521683403E-2"/>
        <color theme="2" tint="-0.249977111117893"/>
        <color theme="2" tint="-0.499984740745262"/>
      </colorScale>
    </cfRule>
  </conditionalFormatting>
  <conditionalFormatting sqref="C4:D5 C7:D7 C6 C8 D6">
    <cfRule type="expression" dxfId="41" priority="19">
      <formula>$C$4=1</formula>
    </cfRule>
  </conditionalFormatting>
  <conditionalFormatting sqref="C8 C4:D7">
    <cfRule type="expression" dxfId="40" priority="1">
      <formula>$C$4=5</formula>
    </cfRule>
    <cfRule type="expression" dxfId="39" priority="16">
      <formula>$C$4=4</formula>
    </cfRule>
  </conditionalFormatting>
  <conditionalFormatting sqref="C8 C4:D7">
    <cfRule type="expression" dxfId="38" priority="17">
      <formula>$C$4=3</formula>
    </cfRule>
  </conditionalFormatting>
  <conditionalFormatting sqref="C8 C4:D7">
    <cfRule type="expression" dxfId="37" priority="18">
      <formula>$C$4=2</formula>
    </cfRule>
  </conditionalFormatting>
  <conditionalFormatting sqref="I5:I32">
    <cfRule type="colorScale" priority="3">
      <colorScale>
        <cfvo type="min"/>
        <cfvo type="percentile" val="50"/>
        <cfvo type="max"/>
        <color theme="9" tint="0.39997558519241921"/>
        <color theme="7" tint="0.39997558519241921"/>
        <color rgb="FFFF4B4B"/>
      </colorScale>
    </cfRule>
  </conditionalFormatting>
  <conditionalFormatting sqref="J5:J31 K9">
    <cfRule type="colorScale" priority="2">
      <colorScale>
        <cfvo type="min"/>
        <cfvo type="percentile" val="50"/>
        <cfvo type="max"/>
        <color theme="9" tint="0.79998168889431442"/>
        <color theme="7" tint="0.79998168889431442"/>
        <color rgb="FFFBC5C5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9460E-C77A-4E08-A9D0-AFE19D5D79B1}">
  <sheetPr codeName="Sheet1"/>
  <dimension ref="B1:P47"/>
  <sheetViews>
    <sheetView zoomScale="85" zoomScaleNormal="85" workbookViewId="0">
      <selection activeCell="C7" sqref="C7"/>
    </sheetView>
  </sheetViews>
  <sheetFormatPr defaultRowHeight="14.3" x14ac:dyDescent="0.25"/>
  <cols>
    <col min="1" max="1" width="3" style="41" customWidth="1"/>
    <col min="2" max="2" width="63.75" style="41" customWidth="1"/>
    <col min="3" max="3" width="14.75" style="42" customWidth="1"/>
    <col min="4" max="4" width="10.125" style="42" customWidth="1"/>
    <col min="5" max="6" width="18.125" style="42" customWidth="1"/>
    <col min="7" max="7" width="17.625" style="41" customWidth="1"/>
    <col min="8" max="8" width="11.75" style="43" customWidth="1"/>
    <col min="9" max="9" width="8" style="41" customWidth="1"/>
    <col min="10" max="10" width="63.75" style="41" customWidth="1"/>
    <col min="11" max="11" width="14.75" style="42" customWidth="1"/>
    <col min="12" max="12" width="7.875" style="42" customWidth="1"/>
    <col min="13" max="14" width="18.125" style="42" customWidth="1"/>
    <col min="15" max="15" width="22" style="42" customWidth="1"/>
    <col min="16" max="16" width="11.75" style="43" customWidth="1"/>
    <col min="17" max="18" width="8.875" style="41" customWidth="1"/>
    <col min="19" max="16384" width="9" style="41"/>
  </cols>
  <sheetData>
    <row r="1" spans="2:16" x14ac:dyDescent="0.25">
      <c r="E1" s="41"/>
      <c r="F1" s="41"/>
    </row>
    <row r="2" spans="2:16" ht="14.3" customHeight="1" x14ac:dyDescent="0.25">
      <c r="B2" s="44" t="s">
        <v>82</v>
      </c>
      <c r="C2" s="45">
        <f>IF(ISERROR(
SUMPRODUCT(
_xlfn._xlws.FILTER(Modules!C2:C28,Modules!F2:F28),
_xlfn._xlws.FILTER(Modules!D2:D28,Modules!F2:F28)
)/SUM(Modules!D2:D28)),
0,
SUMPRODUCT(
_xlfn._xlws.FILTER(Modules!C2:C28,Modules!F2:F28),
_xlfn._xlws.FILTER(Modules!D2:D28,Modules!F2:F28)
)/SUM(Modules!D2:D28))</f>
        <v>0.25</v>
      </c>
      <c r="E2" s="79" t="s">
        <v>88</v>
      </c>
      <c r="F2" s="80"/>
      <c r="G2" s="76">
        <v>1</v>
      </c>
    </row>
    <row r="3" spans="2:16" ht="14.3" customHeight="1" x14ac:dyDescent="0.25">
      <c r="B3" s="46" t="s">
        <v>71</v>
      </c>
      <c r="C3" s="47" cm="1">
        <f t="array" ref="C3">SUMPRODUCT(
_xlfn._xlws.FILTER(_xlfn._xlws.FILTER(Modules!C2:D28, (Modules!C2:C28&gt;0)*(Modules!F2:F28)), {1,0}),
_xlfn._xlws.FILTER(_xlfn._xlws.FILTER(Modules!C2:D28, (Modules!C2:C28&gt;0)*(Modules!F2:F28)), {0,1})
)/SUM(_xlfn._xlws.FILTER(_xlfn._xlws.FILTER(Modules!C2:D28, (Modules!C2:C28&gt;0)*(Modules!F2:F28)), {0,1}))</f>
        <v>9</v>
      </c>
      <c r="E3" s="81"/>
      <c r="F3" s="82"/>
      <c r="G3" s="77"/>
    </row>
    <row r="4" spans="2:16" ht="14.3" customHeight="1" x14ac:dyDescent="0.25">
      <c r="B4" s="48" t="s">
        <v>86</v>
      </c>
      <c r="C4" s="49" cm="1">
        <f t="array" ref="C4">C2
+
SUM(_xlfn._xlws.FILTER(Modules!J2:J28,(NOT(Modules!F2:F28))))</f>
        <v>6.9888888888888863</v>
      </c>
      <c r="E4" s="81"/>
      <c r="F4" s="82"/>
      <c r="G4" s="77"/>
    </row>
    <row r="5" spans="2:16" ht="14.3" customHeight="1" x14ac:dyDescent="0.25">
      <c r="B5" s="46" t="s">
        <v>87</v>
      </c>
      <c r="C5" s="47" cm="1">
        <f t="array" ref="C5">C2
+
SUM(_xlfn._xlws.FILTER(Modules!H2:H28,(NOT(Modules!F2:F28))))</f>
        <v>8.9</v>
      </c>
      <c r="E5" s="83"/>
      <c r="F5" s="84"/>
      <c r="G5" s="78"/>
    </row>
    <row r="6" spans="2:16" ht="14.3" customHeight="1" x14ac:dyDescent="0.25">
      <c r="B6" s="86" t="s">
        <v>100</v>
      </c>
      <c r="C6" s="87" cm="1">
        <f t="array" ref="C6">SUMPRODUCT(
_xlfn._xlws.FILTER(Modules!C2:C28,(NOT(Modules!E2:E28="Minor"))*(Modules!F2:F28)),
_xlfn._xlws.FILTER(Modules!D2:D28,(NOT(Modules!E2:E28="Minor"))*(Modules!F2:F28)))
/SUM(_xlfn._xlws.FILTER(Modules!D2:D28,(NOT(Modules!E2:E28="Minor"))))
+
SUM(_xlfn._xlws.FILTER(Modules!J2:J28,(NOT(Modules!E2:E28="Minor"))*NOT(Modules!F2:F28)))*180/150</f>
        <v>6.9866666666666646</v>
      </c>
      <c r="E6" s="73"/>
      <c r="F6" s="73"/>
      <c r="G6" s="73"/>
    </row>
    <row r="7" spans="2:16" ht="14.3" customHeight="1" x14ac:dyDescent="0.25">
      <c r="B7" s="85" t="s">
        <v>101</v>
      </c>
      <c r="C7" s="50" cm="1">
        <f t="array" ref="C7">SUMPRODUCT(
_xlfn._xlws.FILTER(Modules!C2:C28,(NOT(Modules!E2:E28="Minor"))*(Modules!F2:F28)),
_xlfn._xlws.FILTER(Modules!D2:D28,(NOT(Modules!E2:E28="Minor"))*(Modules!F2:F28)))
/SUM(_xlfn._xlws.FILTER(Modules!D2:D28,(NOT(Modules!E2:E28="Minor"))))
+
SUM(_xlfn._xlws.FILTER(Modules!H2:H28,(NOT(Modules!E2:E28="Minor"))*NOT(Modules!F2:F28)))*180/150</f>
        <v>8.8800000000000008</v>
      </c>
      <c r="E7" s="32"/>
      <c r="F7" s="32"/>
      <c r="G7" s="31"/>
    </row>
    <row r="8" spans="2:16" ht="14.3" customHeight="1" x14ac:dyDescent="0.25">
      <c r="B8" s="51"/>
      <c r="C8" s="52"/>
      <c r="E8" s="32"/>
      <c r="F8" s="32"/>
      <c r="G8" s="31"/>
    </row>
    <row r="9" spans="2:16" ht="14.3" customHeight="1" x14ac:dyDescent="0.25"/>
    <row r="10" spans="2:16" x14ac:dyDescent="0.25">
      <c r="B10" s="74" t="s">
        <v>78</v>
      </c>
      <c r="C10" s="74"/>
      <c r="D10" s="74"/>
      <c r="E10" s="75"/>
      <c r="F10" s="75"/>
      <c r="G10" s="74"/>
      <c r="H10" s="74"/>
      <c r="I10" s="74"/>
      <c r="J10" s="74"/>
      <c r="K10" s="74"/>
      <c r="L10" s="74"/>
      <c r="M10" s="74"/>
      <c r="N10" s="74"/>
      <c r="O10" s="74"/>
      <c r="P10" s="74"/>
    </row>
    <row r="12" spans="2:16" x14ac:dyDescent="0.25">
      <c r="B12" s="53" t="s">
        <v>79</v>
      </c>
      <c r="C12" s="54" t="s">
        <v>75</v>
      </c>
      <c r="D12" s="54" t="s">
        <v>26</v>
      </c>
      <c r="E12" s="55" t="s">
        <v>89</v>
      </c>
      <c r="F12" s="54" t="s">
        <v>97</v>
      </c>
      <c r="G12" s="54" t="s">
        <v>85</v>
      </c>
      <c r="H12" s="54" t="s">
        <v>62</v>
      </c>
      <c r="I12" s="43"/>
      <c r="J12" s="61" t="s">
        <v>80</v>
      </c>
      <c r="K12" s="62" t="s">
        <v>75</v>
      </c>
      <c r="L12" s="62" t="s">
        <v>26</v>
      </c>
      <c r="M12" s="62" t="s">
        <v>89</v>
      </c>
      <c r="N12" s="62" t="s">
        <v>97</v>
      </c>
      <c r="O12" s="62" t="s">
        <v>85</v>
      </c>
      <c r="P12" s="62" t="s">
        <v>62</v>
      </c>
    </row>
    <row r="13" spans="2:16" x14ac:dyDescent="0.25">
      <c r="B13" s="41" t="str" cm="1">
        <f t="array" ref="B13:H17">IF(NOT(ISERROR(
_xlfn._xlws.FILTER(_xlfn._xlws.FILTER(Courses!B2:M46,
(
(((Courses!C2:C46=1)+(IF(Courses!D2:D46=0,TRUE,IF(Courses!D2:D46&lt;5,IF('Dashboard - Quarter'!C4=2, FALSE, TRUE)))))=2)
+ (((Courses!C2:C46=1)+(Courses!G2:G46=1)+NOT(Courses!D2:D46=0)+('Dashboard - Quarter'!C4=1))=4)
+ (((Courses!C2:C46=0)+(Courses!G2:G46=1)+NOT(Courses!D2:D46=0)+('Dashboard - Quarter'!C4=1))=4)
)
*(IF(ISTEXT(Courses!M2:M46),G2=3,Courses!M2:M46&lt;=G2))),{1,0,1,1,0,0,0,1,0,1,1,1})
)),
_xlfn._xlws.FILTER(_xlfn._xlws.FILTER(Courses!B2:M46,
(
(((Courses!C2:C46=1)+(IF(Courses!D2:D46=0,TRUE,IF(Courses!D2:D46&lt;5,IF('Dashboard - Quarter'!C4=2, FALSE, TRUE)))))=2)
+ (((Courses!C2:C46=1)+(Courses!G2:G46=1)+NOT(Courses!D2:D46=0)+('Dashboard - Quarter'!C4=1))=4)
+ (((Courses!C2:C46=0)+(Courses!G2:G46=1)+NOT(Courses!D2:D46=0)+('Dashboard - Quarter'!C4=1))=4)
)
*(IF(ISTEXT(Courses!M2:M46),G2=3,Courses!M2:M46&lt;=G2))),{1,0,1,1,0,0,0,1,0,1,1,1}),
"None")</f>
        <v>AE1110-I Introduction to Aerospace Engineering I</v>
      </c>
      <c r="C13" s="42">
        <v>0</v>
      </c>
      <c r="D13" s="42">
        <v>5</v>
      </c>
      <c r="E13" s="42">
        <v>9</v>
      </c>
      <c r="F13" s="42">
        <v>7</v>
      </c>
      <c r="G13" s="58">
        <v>98</v>
      </c>
      <c r="H13" s="59">
        <v>1</v>
      </c>
      <c r="J13" s="41" t="str" cm="1">
        <f t="array" ref="J13:P16">IF(NOT(ISERROR(
_xlfn._xlws.FILTER(_xlfn._xlws.FILTER(Courses!B2:M46,
(
(((Courses!C2:C46=2)+(IF(Courses!D2:D46=0,TRUE,IF(Courses!D2:D46&lt;5,IF('Dashboard - Quarter'!C4=3, FALSE, TRUE)))))=2)
+ (((Courses!C2:C46=2)+(Courses!G2:G46=1)+NOT(Courses!D2:D46=0)+('Dashboard - Quarter'!C4=2))=4)
+ (((Courses!C2:C46=1)+(Courses!G2:G46=1)+NOT(Courses!D2:D46=0)+('Dashboard - Quarter'!C4=2))=4)
)
*(IF(ISTEXT(Courses!M2:M46),G2=3,Courses!M2:M46&lt;=G2))),{1,0,1,1,0,0,0,1,0,1,1,1})
)),
_xlfn._xlws.FILTER(_xlfn._xlws.FILTER(Courses!B2:M46,
(
(((Courses!C2:C46=2)+(IF(Courses!D2:D46=0,TRUE,IF(Courses!D2:D46&lt;5,IF('Dashboard - Quarter'!C4=3, FALSE, TRUE)))))=2)
+ (((Courses!C2:C46=2)+(Courses!G2:G46=1)+NOT(Courses!D2:D46=0)+('Dashboard - Quarter'!C4=2))=4)
+ (((Courses!C2:C46=1)+(Courses!G2:G46=1)+NOT(Courses!D2:D46=0)+('Dashboard - Quarter'!C4=2))=4)
)
*(IF(ISTEXT(Courses!M2:M46),G2=3,Courses!M2:M46&lt;=G2))),{1,0,1,1,0,0,0,1,0,1,1,1}),
"None")</f>
        <v>AE1110-II Introduction to Aerospace Engineering II</v>
      </c>
      <c r="K13" s="42">
        <v>0</v>
      </c>
      <c r="L13" s="42">
        <v>4</v>
      </c>
      <c r="M13" s="42">
        <v>9</v>
      </c>
      <c r="N13" s="42">
        <v>7</v>
      </c>
      <c r="O13" s="60">
        <v>78.400000000000006</v>
      </c>
      <c r="P13" s="59">
        <v>1</v>
      </c>
    </row>
    <row r="14" spans="2:16" x14ac:dyDescent="0.25">
      <c r="B14" s="41" t="str">
        <v>AE1130-I Statics</v>
      </c>
      <c r="C14" s="42">
        <v>0</v>
      </c>
      <c r="D14" s="42">
        <v>4</v>
      </c>
      <c r="E14" s="42">
        <v>9</v>
      </c>
      <c r="F14" s="60">
        <v>7</v>
      </c>
      <c r="G14" s="41">
        <v>78.400000000000006</v>
      </c>
      <c r="H14" s="59">
        <v>1</v>
      </c>
      <c r="J14" s="41" t="str">
        <v>WI1421LR Calculus I-B</v>
      </c>
      <c r="K14" s="42">
        <v>0</v>
      </c>
      <c r="L14" s="42">
        <v>3</v>
      </c>
      <c r="M14" s="42">
        <v>9</v>
      </c>
      <c r="N14" s="42">
        <v>7</v>
      </c>
      <c r="O14" s="60">
        <v>58.8</v>
      </c>
      <c r="P14" s="59">
        <v>1</v>
      </c>
    </row>
    <row r="15" spans="2:16" x14ac:dyDescent="0.25">
      <c r="B15" s="41" t="str">
        <v>WI1421LR Calculus I-A</v>
      </c>
      <c r="C15" s="42">
        <v>0</v>
      </c>
      <c r="D15" s="42">
        <v>3</v>
      </c>
      <c r="E15" s="42">
        <v>9</v>
      </c>
      <c r="F15" s="60">
        <v>7</v>
      </c>
      <c r="G15" s="41">
        <v>58.8</v>
      </c>
      <c r="H15" s="59">
        <v>1</v>
      </c>
      <c r="J15" s="41" t="str">
        <v>AE1130-II Dynamics</v>
      </c>
      <c r="K15" s="42">
        <v>0</v>
      </c>
      <c r="L15" s="42">
        <v>3</v>
      </c>
      <c r="M15" s="42">
        <v>9</v>
      </c>
      <c r="N15" s="42">
        <v>7</v>
      </c>
      <c r="O15" s="60">
        <v>58.8</v>
      </c>
      <c r="P15" s="59">
        <v>1</v>
      </c>
    </row>
    <row r="16" spans="2:16" x14ac:dyDescent="0.25">
      <c r="B16" s="41" t="str">
        <v>AE1111-I Exploring Aerospace Engineering</v>
      </c>
      <c r="C16" s="42">
        <v>0</v>
      </c>
      <c r="D16" s="42">
        <v>3</v>
      </c>
      <c r="E16" s="42">
        <v>9</v>
      </c>
      <c r="F16" s="60">
        <v>7</v>
      </c>
      <c r="G16" s="41">
        <v>58.8</v>
      </c>
      <c r="H16" s="59">
        <v>1</v>
      </c>
      <c r="J16" s="41" t="str">
        <v>AE1108-I Aerospace Materials</v>
      </c>
      <c r="K16" s="42">
        <v>0</v>
      </c>
      <c r="L16" s="42">
        <v>3</v>
      </c>
      <c r="M16" s="42">
        <v>9</v>
      </c>
      <c r="N16" s="42">
        <v>7</v>
      </c>
      <c r="O16" s="60">
        <v>58.8</v>
      </c>
      <c r="P16" s="59">
        <v>1</v>
      </c>
    </row>
    <row r="17" spans="2:16" x14ac:dyDescent="0.25">
      <c r="B17" s="18" t="str">
        <v>AE1111-II Engineering Drawing</v>
      </c>
      <c r="C17" s="42">
        <v>0</v>
      </c>
      <c r="D17" s="42">
        <v>2</v>
      </c>
      <c r="E17" s="42">
        <v>9</v>
      </c>
      <c r="F17" s="42">
        <v>7</v>
      </c>
      <c r="G17" s="58">
        <v>39.200000000000003</v>
      </c>
      <c r="H17" s="59">
        <v>1</v>
      </c>
      <c r="J17" s="18"/>
      <c r="O17" s="60"/>
      <c r="P17" s="59"/>
    </row>
    <row r="18" spans="2:16" x14ac:dyDescent="0.25">
      <c r="B18" s="18"/>
      <c r="G18" s="58"/>
      <c r="H18" s="59"/>
      <c r="O18" s="60"/>
      <c r="P18" s="59"/>
    </row>
    <row r="19" spans="2:16" x14ac:dyDescent="0.25">
      <c r="B19" s="18"/>
      <c r="G19" s="58"/>
      <c r="H19" s="59"/>
      <c r="O19" s="60"/>
      <c r="P19" s="59"/>
    </row>
    <row r="20" spans="2:16" x14ac:dyDescent="0.25">
      <c r="B20" s="18"/>
      <c r="G20" s="58"/>
      <c r="H20" s="59"/>
      <c r="O20" s="60"/>
      <c r="P20" s="59"/>
    </row>
    <row r="21" spans="2:16" x14ac:dyDescent="0.25">
      <c r="B21" s="18"/>
      <c r="G21" s="58"/>
      <c r="H21" s="59"/>
      <c r="O21" s="60"/>
      <c r="P21" s="59"/>
    </row>
    <row r="22" spans="2:16" x14ac:dyDescent="0.25">
      <c r="B22" s="18"/>
      <c r="G22" s="58"/>
      <c r="H22" s="59"/>
      <c r="O22" s="60"/>
      <c r="P22" s="59"/>
    </row>
    <row r="23" spans="2:16" x14ac:dyDescent="0.25">
      <c r="B23" s="18"/>
      <c r="G23" s="58"/>
      <c r="H23" s="59"/>
      <c r="O23" s="60"/>
      <c r="P23" s="59"/>
    </row>
    <row r="24" spans="2:16" x14ac:dyDescent="0.25">
      <c r="B24" s="18"/>
      <c r="G24" s="58"/>
      <c r="H24" s="59"/>
      <c r="O24" s="60"/>
      <c r="P24" s="59"/>
    </row>
    <row r="25" spans="2:16" x14ac:dyDescent="0.25">
      <c r="B25" s="18"/>
      <c r="G25" s="58"/>
      <c r="H25" s="59"/>
      <c r="O25" s="60"/>
      <c r="P25" s="59"/>
    </row>
    <row r="26" spans="2:16" x14ac:dyDescent="0.25">
      <c r="B26" s="18"/>
      <c r="G26" s="58"/>
      <c r="H26" s="59"/>
      <c r="O26" s="60"/>
      <c r="P26" s="59"/>
    </row>
    <row r="27" spans="2:16" x14ac:dyDescent="0.25">
      <c r="B27" s="18"/>
      <c r="G27" s="58"/>
      <c r="H27" s="59"/>
      <c r="O27" s="60"/>
      <c r="P27" s="59"/>
    </row>
    <row r="28" spans="2:16" x14ac:dyDescent="0.25">
      <c r="G28" s="58"/>
      <c r="H28" s="59"/>
      <c r="O28" s="60"/>
      <c r="P28" s="59"/>
    </row>
    <row r="29" spans="2:16" x14ac:dyDescent="0.25">
      <c r="B29" s="56" t="s">
        <v>76</v>
      </c>
      <c r="C29" s="57" t="s">
        <v>75</v>
      </c>
      <c r="D29" s="57" t="s">
        <v>26</v>
      </c>
      <c r="E29" s="57" t="s">
        <v>89</v>
      </c>
      <c r="F29" s="57" t="s">
        <v>97</v>
      </c>
      <c r="G29" s="57" t="s">
        <v>85</v>
      </c>
      <c r="H29" s="57" t="s">
        <v>62</v>
      </c>
      <c r="I29" s="43"/>
      <c r="J29" s="63" t="s">
        <v>77</v>
      </c>
      <c r="K29" s="64" t="s">
        <v>75</v>
      </c>
      <c r="L29" s="64" t="s">
        <v>26</v>
      </c>
      <c r="M29" s="65" t="s">
        <v>89</v>
      </c>
      <c r="N29" s="64" t="s">
        <v>97</v>
      </c>
      <c r="O29" s="64" t="s">
        <v>85</v>
      </c>
      <c r="P29" s="64" t="s">
        <v>62</v>
      </c>
    </row>
    <row r="30" spans="2:16" x14ac:dyDescent="0.25">
      <c r="B30" s="41" t="str" cm="1">
        <f t="array" ref="B30:H31">IF(NOT(ISERROR(
_xlfn._xlws.FILTER(_xlfn._xlws.FILTER(Courses!B2:M46,
(
(((Courses!C2:C46=3)+(IF(Courses!D2:D46=0,TRUE,IF(Courses!D2:D46&lt;5,IF('Dashboard - Quarter'!C4=4, FALSE, TRUE)))))=2)
+ (((Courses!C2:C46=3)+(Courses!G2:G46=1)+NOT(Courses!D2:D46=0)+('Dashboard - Quarter'!C4=3))=4)
+ (((Courses!C2:C46=2)+(Courses!G2:G46=1)+NOT(Courses!D2:D46=0)+('Dashboard - Quarter'!C4=3))=4)
)
*(IF(ISTEXT(Courses!M2:M46),G2=3,Courses!M2:M46&lt;=G2))),{1,0,1,1,0,0,0,1,0,1,1,1})
)),
_xlfn._xlws.FILTER(_xlfn._xlws.FILTER(Courses!B2:M46,
(
(((Courses!C2:C46=3)+(IF(Courses!D2:D46=0,TRUE,IF(Courses!D2:D46&lt;5,IF('Dashboard - Quarter'!C4=4, FALSE, TRUE)))))=2)
+ (((Courses!C2:C46=3)+(Courses!G2:G46=1)+NOT(Courses!D2:D46=0)+('Dashboard - Quarter'!C4=3))=4)
+ (((Courses!C2:C46=2)+(Courses!G2:G46=1)+NOT(Courses!D2:D46=0)+('Dashboard - Quarter'!C4=3))=4)
)
*(IF(ISTEXT(Courses!M2:M46),G2=3,Courses!M2:M46&lt;=G2))),{1,0,1,1,0,0,0,1,0,1,1,1}),
"None")</f>
        <v>AE1222-II Aerospace Design and Systems Engineering Elements I</v>
      </c>
      <c r="C30" s="42">
        <v>0</v>
      </c>
      <c r="D30" s="42">
        <v>4</v>
      </c>
      <c r="E30" s="42">
        <v>9</v>
      </c>
      <c r="F30" s="42">
        <v>7</v>
      </c>
      <c r="G30" s="58">
        <v>78.400000000000006</v>
      </c>
      <c r="H30" s="59">
        <v>1</v>
      </c>
      <c r="J30" s="18" t="str" cm="1">
        <f t="array" ref="J30:P33">IF(NOT(ISERROR(
_xlfn._xlws.FILTER(_xlfn._xlws.FILTER(Courses!B2:M46,
(
(((Courses!C2:C46=4)+(IF(Courses!D2:D46=0,TRUE,IF(Courses!D2:D46&lt;5,IF('Dashboard - Quarter'!C4=5, FALSE, TRUE)))))=2)
+ (((Courses!C2:C46=4)+(Courses!G2:G46=1)+NOT(Courses!D2:D46=0)+('Dashboard - Quarter'!C4=4))=4)
+ (((Courses!C2:C46=3)+(Courses!G2:G46=1)+NOT(Courses!D2:D46=0)+('Dashboard - Quarter'!C4=4))=4)
)
*(IF(ISTEXT(Courses!M2:M46),G2=3,Courses!M2:M46&lt;=G2))),{1,0,1,1,0,0,0,1,0,1,1,1})
)),
_xlfn._xlws.FILTER(_xlfn._xlws.FILTER(Courses!B2:M46,
(
(((Courses!C2:C46=4)+(IF(Courses!D2:D46=0,TRUE,IF(Courses!D2:D46&lt;5,IF('Dashboard - Quarter'!C4=5, FALSE, TRUE)))))=2)
+ (((Courses!C2:C46=4)+(Courses!G2:G46=1)+NOT(Courses!D2:D46=0)+('Dashboard - Quarter'!C4=4))=4)
+ (((Courses!C2:C46=3)+(Courses!G2:G46=1)+NOT(Courses!D2:D46=0)+('Dashboard - Quarter'!C4=4))=4)
)
*(IF(ISTEXT(Courses!M2:M46),G2=3,Courses!M2:M46&lt;=G2))),{1,0,1,1,0,0,0,1,0,1,1,1}),
"None")</f>
        <v>AE1240-II Waves and Electromagnetism</v>
      </c>
      <c r="K30" s="42">
        <v>3</v>
      </c>
      <c r="L30" s="42">
        <v>3</v>
      </c>
      <c r="M30" s="42">
        <v>9</v>
      </c>
      <c r="N30" s="42">
        <v>7</v>
      </c>
      <c r="O30" s="60">
        <v>58.8</v>
      </c>
      <c r="P30" s="59">
        <v>1</v>
      </c>
    </row>
    <row r="31" spans="2:16" x14ac:dyDescent="0.25">
      <c r="B31" s="41" t="str">
        <v>AE1222-I Design &amp; Construction</v>
      </c>
      <c r="C31" s="42">
        <v>0</v>
      </c>
      <c r="D31" s="42">
        <v>5</v>
      </c>
      <c r="E31" s="42">
        <v>9</v>
      </c>
      <c r="F31" s="60">
        <v>7</v>
      </c>
      <c r="G31" s="41">
        <v>98</v>
      </c>
      <c r="H31" s="59">
        <v>1</v>
      </c>
      <c r="J31" s="18" t="str">
        <v>AE1240-I Thermodynamics</v>
      </c>
      <c r="K31" s="42">
        <v>0</v>
      </c>
      <c r="L31" s="42">
        <v>3</v>
      </c>
      <c r="M31" s="42">
        <v>9</v>
      </c>
      <c r="N31" s="42">
        <v>7</v>
      </c>
      <c r="O31" s="60">
        <v>58.8</v>
      </c>
      <c r="P31" s="59">
        <v>1</v>
      </c>
    </row>
    <row r="32" spans="2:16" x14ac:dyDescent="0.25">
      <c r="F32" s="60"/>
      <c r="H32" s="59"/>
      <c r="J32" s="18" t="str">
        <v>AE1205 Programming and Scientific Computing in Python for AE1</v>
      </c>
      <c r="K32" s="42">
        <v>0</v>
      </c>
      <c r="L32" s="42">
        <v>2</v>
      </c>
      <c r="M32" s="42">
        <v>9</v>
      </c>
      <c r="N32" s="42">
        <v>7</v>
      </c>
      <c r="O32" s="60">
        <v>39.200000000000003</v>
      </c>
      <c r="P32" s="59">
        <v>1</v>
      </c>
    </row>
    <row r="33" spans="2:16" x14ac:dyDescent="0.25">
      <c r="C33" s="60"/>
      <c r="H33" s="59"/>
      <c r="J33" s="18" t="str">
        <v>WI1420LR Calculus II</v>
      </c>
      <c r="K33" s="42">
        <v>6</v>
      </c>
      <c r="L33" s="60">
        <v>5</v>
      </c>
      <c r="M33" s="60">
        <v>9</v>
      </c>
      <c r="N33" s="42">
        <v>7</v>
      </c>
      <c r="O33" s="42">
        <v>98</v>
      </c>
      <c r="P33" s="59">
        <v>1</v>
      </c>
    </row>
    <row r="34" spans="2:16" x14ac:dyDescent="0.25">
      <c r="D34" s="60"/>
      <c r="E34" s="60"/>
      <c r="H34" s="59"/>
      <c r="L34" s="60"/>
      <c r="M34" s="60"/>
      <c r="P34" s="59"/>
    </row>
    <row r="35" spans="2:16" x14ac:dyDescent="0.25">
      <c r="D35" s="60"/>
      <c r="E35" s="60"/>
      <c r="H35" s="59"/>
      <c r="P35" s="59"/>
    </row>
    <row r="36" spans="2:16" x14ac:dyDescent="0.25">
      <c r="H36" s="59"/>
      <c r="P36" s="59"/>
    </row>
    <row r="37" spans="2:16" x14ac:dyDescent="0.25">
      <c r="H37" s="59"/>
      <c r="P37" s="59"/>
    </row>
    <row r="38" spans="2:16" x14ac:dyDescent="0.25">
      <c r="H38" s="59"/>
      <c r="J38" s="18"/>
      <c r="P38" s="59"/>
    </row>
    <row r="39" spans="2:16" x14ac:dyDescent="0.25">
      <c r="H39" s="59"/>
      <c r="J39" s="18"/>
      <c r="P39" s="59"/>
    </row>
    <row r="40" spans="2:16" x14ac:dyDescent="0.25">
      <c r="B40" s="18"/>
      <c r="H40" s="59"/>
      <c r="P40" s="59"/>
    </row>
    <row r="41" spans="2:16" x14ac:dyDescent="0.25">
      <c r="H41" s="59"/>
      <c r="P41" s="59"/>
    </row>
    <row r="42" spans="2:16" x14ac:dyDescent="0.25">
      <c r="B42" s="67" t="s">
        <v>99</v>
      </c>
      <c r="C42" s="68" t="s">
        <v>75</v>
      </c>
      <c r="D42" s="68" t="s">
        <v>26</v>
      </c>
      <c r="E42" s="72" t="s">
        <v>89</v>
      </c>
      <c r="F42" s="68" t="s">
        <v>97</v>
      </c>
      <c r="G42" s="68" t="s">
        <v>85</v>
      </c>
      <c r="H42" s="68" t="s">
        <v>62</v>
      </c>
      <c r="P42" s="59"/>
    </row>
    <row r="43" spans="2:16" x14ac:dyDescent="0.25">
      <c r="B43" s="41" t="str" cm="1">
        <f t="array" ref="B43">IF(NOT(ISERROR(
_xlfn._xlws.FILTER(_xlfn._xlws.FILTER(Courses!B2:M46,
(
(((Courses!C2:C46=5)+(IF(Courses!D2:D46=0,TRUE,IF(Courses!D2:D46&lt;5,IF('Dashboard - Quarter'!C4=6, FALSE, TRUE)))))=2)
+ (((Courses!C2:C46=5)+(Courses!G2:G46=1)+NOT(Courses!D2:D46=0)+('Dashboard - Quarter'!C4=5))=4)
+ (((Courses!C2:C46=4)+(Courses!G2:G46=1)+NOT(Courses!D2:D46=0)+('Dashboard - Quarter'!C4=5))=4)
)
*(IF(ISTEXT(Courses!M2:M46),G2=3,Courses!M2:M46&lt;=G2))),{1,0,1,1,0,0,0,1,0,1,1,1})
)),
_xlfn._xlws.FILTER(_xlfn._xlws.FILTER(Courses!B2:M46,
(
(((Courses!C2:C46=5)+(IF(Courses!D2:D46=0,TRUE,IF(Courses!D2:D46&lt;5,IF('Dashboard - Quarter'!C4=6, FALSE, TRUE)))))=2)
+ (((Courses!C2:C46=5)+(Courses!G2:G46=1)+NOT(Courses!D2:D46=0)+('Dashboard - Quarter'!C4=5))=4)
+ (((Courses!C2:C46=4)+(Courses!G2:G46=1)+NOT(Courses!D2:D46=0)+('Dashboard - Quarter'!C4=5))=4)
)
*(IF(ISTEXT(Courses!M2:M46),G2=3,Courses!M2:M46&lt;=G2))),{1,0,1,1,0,0,0,1,0,1,1,1}),
"None")</f>
        <v>None</v>
      </c>
    </row>
    <row r="47" spans="2:16" x14ac:dyDescent="0.25">
      <c r="C47" s="66"/>
    </row>
  </sheetData>
  <mergeCells count="3">
    <mergeCell ref="B10:P10"/>
    <mergeCell ref="G2:G5"/>
    <mergeCell ref="E2:F5"/>
  </mergeCells>
  <conditionalFormatting sqref="F13:F28 F30:F41 N13:N28 N30:N41 F43:F54">
    <cfRule type="colorScale" priority="29">
      <colorScale>
        <cfvo type="num" val="7.5"/>
        <cfvo type="percentile" val="50"/>
        <cfvo type="num" val="9.5"/>
        <color theme="9" tint="0.39997558519241921"/>
        <color theme="7" tint="0.59999389629810485"/>
        <color rgb="FFC00000"/>
      </colorScale>
    </cfRule>
  </conditionalFormatting>
  <conditionalFormatting sqref="L3">
    <cfRule type="expression" dxfId="9" priority="14">
      <formula>L3="AE Year 1"</formula>
    </cfRule>
    <cfRule type="expression" dxfId="8" priority="15">
      <formula>L3="AE Year 2"</formula>
    </cfRule>
    <cfRule type="expression" dxfId="7" priority="16">
      <formula>L3="AE Year 3"</formula>
    </cfRule>
  </conditionalFormatting>
  <conditionalFormatting sqref="B13:B27 J13:J27 B30:B41 J30:J41 B43:B54">
    <cfRule type="expression" dxfId="6" priority="2">
      <formula>AND(C13&gt;0, C13&lt;5)</formula>
    </cfRule>
    <cfRule type="expression" dxfId="5" priority="3">
      <formula>AND(C13&gt;0, C13&gt;5)</formula>
    </cfRule>
  </conditionalFormatting>
  <conditionalFormatting sqref="E13:E28 E30:E41 M13:M28 M30:M41 E43:E55">
    <cfRule type="colorScale" priority="73">
      <colorScale>
        <cfvo type="min"/>
        <cfvo type="percentile" val="50"/>
        <cfvo type="max"/>
        <color theme="9" tint="0.79998168889431442"/>
        <color theme="7" tint="0.79998168889431442"/>
        <color rgb="FFFFC9C9"/>
      </colorScale>
    </cfRule>
  </conditionalFormatting>
  <conditionalFormatting sqref="G13:G27 G30:G41 O13:O27 O30:O41 G43:G54">
    <cfRule type="colorScale" priority="77">
      <colorScale>
        <cfvo type="min"/>
        <cfvo type="percentile" val="50"/>
        <cfvo type="max"/>
        <color theme="0" tint="-4.9989318521683403E-2"/>
        <color theme="2" tint="-0.249977111117893"/>
        <color theme="2" tint="-0.499984740745262"/>
      </colorScale>
    </cfRule>
  </conditionalFormatting>
  <conditionalFormatting sqref="H13:H27 H30:H41 P13:P27 P30:P41 H43:H54">
    <cfRule type="expression" dxfId="4" priority="4">
      <formula>H13="Minor"</formula>
    </cfRule>
    <cfRule type="expression" dxfId="3" priority="24">
      <formula>H13=1</formula>
    </cfRule>
    <cfRule type="expression" dxfId="2" priority="25">
      <formula>H13=2</formula>
    </cfRule>
    <cfRule type="expression" dxfId="1" priority="26">
      <formula>H13=3</formula>
    </cfRule>
  </conditionalFormatting>
  <conditionalFormatting sqref="C6:C7">
    <cfRule type="expression" dxfId="0" priority="1">
      <formula>$C6&gt;8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46"/>
  <sheetViews>
    <sheetView tabSelected="1" zoomScale="55" zoomScaleNormal="55" workbookViewId="0">
      <selection activeCell="H2" sqref="H2"/>
    </sheetView>
  </sheetViews>
  <sheetFormatPr defaultRowHeight="14.3" x14ac:dyDescent="0.25"/>
  <cols>
    <col min="1" max="1" width="3" style="1" customWidth="1"/>
    <col min="2" max="2" width="69.5" style="1" customWidth="1"/>
    <col min="3" max="3" width="8.25" style="1" customWidth="1"/>
    <col min="4" max="5" width="9" style="1"/>
    <col min="6" max="6" width="11.875" style="16" customWidth="1"/>
    <col min="7" max="7" width="8.625" style="1" customWidth="1"/>
    <col min="8" max="8" width="17.5" style="1" customWidth="1"/>
    <col min="9" max="9" width="26.75" style="1" customWidth="1"/>
    <col min="10" max="11" width="17.5" style="1" customWidth="1"/>
    <col min="12" max="12" width="12.5" style="1" customWidth="1"/>
    <col min="13" max="13" width="11.875" style="1" customWidth="1"/>
    <col min="14" max="14" width="10.125" style="1" customWidth="1"/>
    <col min="15" max="16384" width="9" style="1"/>
  </cols>
  <sheetData>
    <row r="1" spans="1:14" x14ac:dyDescent="0.25">
      <c r="B1" s="4" t="s">
        <v>69</v>
      </c>
      <c r="C1" s="35" t="s">
        <v>60</v>
      </c>
      <c r="D1" s="35" t="s">
        <v>61</v>
      </c>
      <c r="E1" s="35" t="s">
        <v>26</v>
      </c>
      <c r="F1" s="35" t="s">
        <v>27</v>
      </c>
      <c r="G1" s="35" t="s">
        <v>70</v>
      </c>
      <c r="H1" s="35" t="s">
        <v>73</v>
      </c>
      <c r="I1" s="35" t="s">
        <v>96</v>
      </c>
      <c r="J1" s="35" t="s">
        <v>72</v>
      </c>
      <c r="K1" s="35" t="s">
        <v>74</v>
      </c>
      <c r="L1" s="35" t="s">
        <v>84</v>
      </c>
      <c r="M1" s="35" t="s">
        <v>62</v>
      </c>
      <c r="N1" s="35" t="s">
        <v>83</v>
      </c>
    </row>
    <row r="2" spans="1:14" x14ac:dyDescent="0.25">
      <c r="A2" s="27"/>
      <c r="B2" s="17" t="s">
        <v>19</v>
      </c>
      <c r="C2" s="37">
        <v>4</v>
      </c>
      <c r="D2">
        <v>9</v>
      </c>
      <c r="E2" s="37">
        <v>5</v>
      </c>
      <c r="F2" s="36" t="str">
        <f t="shared" ref="F2:F46" si="0">IF(OR(D2&lt;5,ISBLANK(D2)),"Pending","Definitive")</f>
        <v>Definitive</v>
      </c>
      <c r="G2" s="38"/>
      <c r="H2" s="39">
        <v>7</v>
      </c>
      <c r="I2" s="37">
        <f t="shared" ref="I2:I46" si="1">IF(NOT(ISBLANK(D2)), IF(G2=1, H2, D2), H2)</f>
        <v>9</v>
      </c>
      <c r="J2" s="39">
        <v>7</v>
      </c>
      <c r="K2" s="37">
        <f>IF(NOT(ISBLANK(D2)), IF(G2=1, J2, D2), J2)</f>
        <v>9</v>
      </c>
      <c r="L2" s="37">
        <f>IF(OR(G2&gt;0, ISBLANK(D2)), E2*28*K2/10, 0)</f>
        <v>0</v>
      </c>
      <c r="M2" s="28">
        <v>1</v>
      </c>
      <c r="N2" s="17" t="b">
        <f t="shared" ref="N2:N46" si="2">IF(D2&gt;4.99, TRUE, FALSE)</f>
        <v>1</v>
      </c>
    </row>
    <row r="3" spans="1:14" x14ac:dyDescent="0.25">
      <c r="A3" s="27"/>
      <c r="B3" s="17" t="s">
        <v>54</v>
      </c>
      <c r="C3" s="37">
        <v>3</v>
      </c>
      <c r="D3">
        <v>3</v>
      </c>
      <c r="E3" s="37">
        <v>3</v>
      </c>
      <c r="F3" s="36" t="str">
        <f t="shared" si="0"/>
        <v>Pending</v>
      </c>
      <c r="G3" s="38"/>
      <c r="H3" s="39">
        <v>9</v>
      </c>
      <c r="I3" s="37">
        <f t="shared" si="1"/>
        <v>3</v>
      </c>
      <c r="J3" s="39">
        <v>7</v>
      </c>
      <c r="K3" s="37">
        <f>IF(NOT(ISBLANK(D3)), IF(G3=1, J3, D3), J3)</f>
        <v>3</v>
      </c>
      <c r="L3" s="37">
        <f>IF(OR(G3&gt;0, ISBLANK(D3)), E3*28*K3/10, 0)</f>
        <v>0</v>
      </c>
      <c r="M3" s="28">
        <v>1</v>
      </c>
      <c r="N3" s="17" t="b">
        <f t="shared" si="2"/>
        <v>0</v>
      </c>
    </row>
    <row r="4" spans="1:14" x14ac:dyDescent="0.25">
      <c r="A4" s="27"/>
      <c r="B4" s="17" t="s">
        <v>58</v>
      </c>
      <c r="C4" s="37">
        <v>4</v>
      </c>
      <c r="D4">
        <v>3</v>
      </c>
      <c r="E4" s="37">
        <v>3</v>
      </c>
      <c r="F4" s="36" t="str">
        <f t="shared" si="0"/>
        <v>Pending</v>
      </c>
      <c r="G4" s="38">
        <v>1</v>
      </c>
      <c r="H4" s="39">
        <v>9</v>
      </c>
      <c r="I4" s="37">
        <f t="shared" si="1"/>
        <v>9</v>
      </c>
      <c r="J4" s="39">
        <v>7</v>
      </c>
      <c r="K4" s="37">
        <f>IF(NOT(ISBLANK(D4)), IF(G4=1, J4, D4), J4)</f>
        <v>7</v>
      </c>
      <c r="L4" s="37">
        <f>IF(OR(G4&gt;0, ISBLANK(D4)), E4*28*K4/10, 0)</f>
        <v>58.8</v>
      </c>
      <c r="M4" s="28">
        <v>1</v>
      </c>
      <c r="N4" s="17" t="b">
        <f t="shared" si="2"/>
        <v>0</v>
      </c>
    </row>
    <row r="5" spans="1:14" x14ac:dyDescent="0.25">
      <c r="A5" s="27"/>
      <c r="B5" s="17" t="s">
        <v>57</v>
      </c>
      <c r="C5" s="37">
        <v>4</v>
      </c>
      <c r="D5"/>
      <c r="E5" s="37">
        <v>3</v>
      </c>
      <c r="F5" s="36" t="str">
        <f t="shared" si="0"/>
        <v>Pending</v>
      </c>
      <c r="G5" s="38"/>
      <c r="H5" s="39">
        <v>9</v>
      </c>
      <c r="I5" s="37">
        <f t="shared" si="1"/>
        <v>9</v>
      </c>
      <c r="J5" s="39">
        <v>7</v>
      </c>
      <c r="K5" s="37">
        <f>IF(NOT(ISBLANK(D5)), IF(G5=1, J5, D5), J5)</f>
        <v>7</v>
      </c>
      <c r="L5" s="37">
        <f>IF(OR(G5&gt;0, ISBLANK(D5)), E5*28*K5/10, 0)</f>
        <v>58.8</v>
      </c>
      <c r="M5" s="28">
        <v>1</v>
      </c>
      <c r="N5" s="17" t="b">
        <f t="shared" si="2"/>
        <v>0</v>
      </c>
    </row>
    <row r="6" spans="1:14" x14ac:dyDescent="0.25">
      <c r="A6" s="27"/>
      <c r="B6" s="17" t="s">
        <v>23</v>
      </c>
      <c r="C6" s="37">
        <v>4</v>
      </c>
      <c r="D6"/>
      <c r="E6" s="37">
        <v>2</v>
      </c>
      <c r="F6" s="36" t="str">
        <f t="shared" si="0"/>
        <v>Pending</v>
      </c>
      <c r="G6" s="38"/>
      <c r="H6" s="39">
        <v>9</v>
      </c>
      <c r="I6" s="37">
        <f t="shared" si="1"/>
        <v>9</v>
      </c>
      <c r="J6" s="39">
        <v>7</v>
      </c>
      <c r="K6" s="37">
        <f>IF(NOT(ISBLANK(D6)), IF(G6=1, J6, D6), J6)</f>
        <v>7</v>
      </c>
      <c r="L6" s="37">
        <f>IF(OR(G6&gt;0, ISBLANK(D6)), E6*28*K6/10, 0)</f>
        <v>39.200000000000003</v>
      </c>
      <c r="M6" s="28">
        <v>1</v>
      </c>
      <c r="N6" s="17" t="b">
        <f t="shared" si="2"/>
        <v>0</v>
      </c>
    </row>
    <row r="7" spans="1:14" x14ac:dyDescent="0.25">
      <c r="A7" s="27"/>
      <c r="B7" s="17" t="s">
        <v>65</v>
      </c>
      <c r="C7" s="37">
        <v>3</v>
      </c>
      <c r="D7">
        <v>6</v>
      </c>
      <c r="E7" s="37">
        <v>5</v>
      </c>
      <c r="F7" s="36" t="str">
        <f t="shared" si="0"/>
        <v>Definitive</v>
      </c>
      <c r="G7" s="38">
        <v>1</v>
      </c>
      <c r="H7" s="39">
        <v>9</v>
      </c>
      <c r="I7" s="37">
        <f t="shared" si="1"/>
        <v>9</v>
      </c>
      <c r="J7" s="39">
        <v>7</v>
      </c>
      <c r="K7" s="37">
        <f>IF(NOT(ISBLANK(D7)), IF(G7=1, J7, D7), J7)</f>
        <v>7</v>
      </c>
      <c r="L7" s="37">
        <f>IF(OR(G7&gt;0, ISBLANK(D7)), E7*28*K7/10, 0)</f>
        <v>98</v>
      </c>
      <c r="M7" s="28">
        <v>1</v>
      </c>
      <c r="N7" s="17" t="b">
        <f t="shared" si="2"/>
        <v>1</v>
      </c>
    </row>
    <row r="8" spans="1:14" x14ac:dyDescent="0.25">
      <c r="A8" s="27"/>
      <c r="B8" s="17" t="s">
        <v>56</v>
      </c>
      <c r="C8" s="37">
        <v>3</v>
      </c>
      <c r="D8"/>
      <c r="E8" s="37">
        <v>4</v>
      </c>
      <c r="F8" s="36" t="str">
        <f t="shared" si="0"/>
        <v>Pending</v>
      </c>
      <c r="G8" s="38"/>
      <c r="H8" s="39">
        <v>9</v>
      </c>
      <c r="I8" s="37">
        <f t="shared" si="1"/>
        <v>9</v>
      </c>
      <c r="J8" s="39">
        <v>7</v>
      </c>
      <c r="K8" s="37">
        <f>IF(NOT(ISBLANK(D8)), IF(G8=1, J8, D8), J8)</f>
        <v>7</v>
      </c>
      <c r="L8" s="37">
        <f>IF(OR(G8&gt;0, ISBLANK(D8)), E8*28*K8/10, 0)</f>
        <v>78.400000000000006</v>
      </c>
      <c r="M8" s="28">
        <v>1</v>
      </c>
      <c r="N8" s="17" t="b">
        <f t="shared" si="2"/>
        <v>0</v>
      </c>
    </row>
    <row r="9" spans="1:14" x14ac:dyDescent="0.25">
      <c r="A9" s="27"/>
      <c r="B9" s="17" t="s">
        <v>55</v>
      </c>
      <c r="C9" s="37">
        <v>3</v>
      </c>
      <c r="D9"/>
      <c r="E9" s="37">
        <v>5</v>
      </c>
      <c r="F9" s="36" t="str">
        <f t="shared" si="0"/>
        <v>Pending</v>
      </c>
      <c r="G9" s="38"/>
      <c r="H9" s="39">
        <v>9</v>
      </c>
      <c r="I9" s="37">
        <f t="shared" si="1"/>
        <v>9</v>
      </c>
      <c r="J9" s="39">
        <v>7</v>
      </c>
      <c r="K9" s="37">
        <f>IF(NOT(ISBLANK(D9)), IF(G9=1, J9, D9), J9)</f>
        <v>7</v>
      </c>
      <c r="L9" s="37">
        <f>IF(OR(G9&gt;0, ISBLANK(D9)), E9*28*K9/10, 0)</f>
        <v>98</v>
      </c>
      <c r="M9" s="28">
        <v>1</v>
      </c>
      <c r="N9" s="17" t="b">
        <f t="shared" si="2"/>
        <v>0</v>
      </c>
    </row>
    <row r="10" spans="1:14" x14ac:dyDescent="0.25">
      <c r="A10" s="27"/>
      <c r="B10" s="17" t="s">
        <v>52</v>
      </c>
      <c r="C10" s="37">
        <v>2</v>
      </c>
      <c r="D10"/>
      <c r="E10" s="37">
        <v>4</v>
      </c>
      <c r="F10" s="36" t="str">
        <f t="shared" si="0"/>
        <v>Pending</v>
      </c>
      <c r="G10" s="38"/>
      <c r="H10" s="39">
        <v>9</v>
      </c>
      <c r="I10" s="37">
        <f t="shared" si="1"/>
        <v>9</v>
      </c>
      <c r="J10" s="39">
        <v>7</v>
      </c>
      <c r="K10" s="37">
        <f>IF(NOT(ISBLANK(D10)), IF(G10=1, J10, D10), J10)</f>
        <v>7</v>
      </c>
      <c r="L10" s="37">
        <f>IF(OR(G10&gt;0, ISBLANK(D10)), E10*28*K10/10, 0)</f>
        <v>78.400000000000006</v>
      </c>
      <c r="M10" s="28">
        <v>1</v>
      </c>
      <c r="N10" s="17" t="b">
        <f t="shared" si="2"/>
        <v>0</v>
      </c>
    </row>
    <row r="11" spans="1:14" x14ac:dyDescent="0.25">
      <c r="A11" s="27"/>
      <c r="B11" s="17" t="s">
        <v>63</v>
      </c>
      <c r="C11" s="37">
        <v>2</v>
      </c>
      <c r="D11"/>
      <c r="E11" s="37">
        <v>3</v>
      </c>
      <c r="F11" s="36" t="str">
        <f t="shared" si="0"/>
        <v>Pending</v>
      </c>
      <c r="G11" s="38"/>
      <c r="H11" s="39">
        <v>9</v>
      </c>
      <c r="I11" s="37">
        <f t="shared" si="1"/>
        <v>9</v>
      </c>
      <c r="J11" s="39">
        <v>7</v>
      </c>
      <c r="K11" s="37">
        <f>IF(NOT(ISBLANK(D11)), IF(G11=1, J11, D11), J11)</f>
        <v>7</v>
      </c>
      <c r="L11" s="37">
        <f>IF(OR(G11&gt;0, ISBLANK(D11)), E11*28*K11/10, 0)</f>
        <v>58.8</v>
      </c>
      <c r="M11" s="28">
        <v>1</v>
      </c>
      <c r="N11" s="17" t="b">
        <f t="shared" si="2"/>
        <v>0</v>
      </c>
    </row>
    <row r="12" spans="1:14" x14ac:dyDescent="0.25">
      <c r="A12" s="27"/>
      <c r="B12" s="17" t="s">
        <v>53</v>
      </c>
      <c r="C12" s="37">
        <v>2</v>
      </c>
      <c r="D12"/>
      <c r="E12" s="37">
        <v>3</v>
      </c>
      <c r="F12" s="36" t="str">
        <f t="shared" si="0"/>
        <v>Pending</v>
      </c>
      <c r="G12" s="38"/>
      <c r="H12" s="39">
        <v>9</v>
      </c>
      <c r="I12" s="37">
        <f t="shared" si="1"/>
        <v>9</v>
      </c>
      <c r="J12" s="39">
        <v>7</v>
      </c>
      <c r="K12" s="37">
        <f>IF(NOT(ISBLANK(D12)), IF(G12=1, J12, D12), J12)</f>
        <v>7</v>
      </c>
      <c r="L12" s="37">
        <f>IF(OR(G12&gt;0, ISBLANK(D12)), E12*28*K12/10, 0)</f>
        <v>58.8</v>
      </c>
      <c r="M12" s="28">
        <v>1</v>
      </c>
      <c r="N12" s="17" t="b">
        <f t="shared" si="2"/>
        <v>0</v>
      </c>
    </row>
    <row r="13" spans="1:14" x14ac:dyDescent="0.25">
      <c r="A13" s="27"/>
      <c r="B13" s="17" t="s">
        <v>51</v>
      </c>
      <c r="C13" s="37">
        <v>2</v>
      </c>
      <c r="D13"/>
      <c r="E13" s="37">
        <v>3</v>
      </c>
      <c r="F13" s="36" t="str">
        <f t="shared" si="0"/>
        <v>Pending</v>
      </c>
      <c r="G13" s="38"/>
      <c r="H13" s="39">
        <v>9</v>
      </c>
      <c r="I13" s="37">
        <f t="shared" si="1"/>
        <v>9</v>
      </c>
      <c r="J13" s="39">
        <v>7</v>
      </c>
      <c r="K13" s="37">
        <f>IF(NOT(ISBLANK(D13)), IF(G13=1, J13, D13), J13)</f>
        <v>7</v>
      </c>
      <c r="L13" s="37">
        <f>IF(OR(G13&gt;0, ISBLANK(D13)), E13*28*K13/10, 0)</f>
        <v>58.8</v>
      </c>
      <c r="M13" s="28">
        <v>1</v>
      </c>
      <c r="N13" s="17" t="b">
        <f t="shared" si="2"/>
        <v>0</v>
      </c>
    </row>
    <row r="14" spans="1:14" x14ac:dyDescent="0.25">
      <c r="A14" s="27"/>
      <c r="B14" s="17" t="s">
        <v>81</v>
      </c>
      <c r="C14" s="37">
        <v>1</v>
      </c>
      <c r="D14"/>
      <c r="E14" s="37">
        <v>5</v>
      </c>
      <c r="F14" s="36" t="str">
        <f t="shared" si="0"/>
        <v>Pending</v>
      </c>
      <c r="G14" s="38"/>
      <c r="H14" s="39">
        <v>9</v>
      </c>
      <c r="I14" s="37">
        <f t="shared" si="1"/>
        <v>9</v>
      </c>
      <c r="J14" s="39">
        <v>7</v>
      </c>
      <c r="K14" s="37">
        <f>IF(NOT(ISBLANK(D14)), IF(G14=1, J14, D14), J14)</f>
        <v>7</v>
      </c>
      <c r="L14" s="37">
        <f>IF(OR(G14&gt;0, ISBLANK(D14)), E14*28*K14/10, 0)</f>
        <v>98</v>
      </c>
      <c r="M14" s="28">
        <v>1</v>
      </c>
      <c r="N14" s="17" t="b">
        <f t="shared" si="2"/>
        <v>0</v>
      </c>
    </row>
    <row r="15" spans="1:14" x14ac:dyDescent="0.25">
      <c r="A15" s="27"/>
      <c r="B15" s="17" t="s">
        <v>50</v>
      </c>
      <c r="C15" s="37">
        <v>1</v>
      </c>
      <c r="D15"/>
      <c r="E15" s="37">
        <v>4</v>
      </c>
      <c r="F15" s="36" t="str">
        <f t="shared" si="0"/>
        <v>Pending</v>
      </c>
      <c r="G15" s="38"/>
      <c r="H15" s="39">
        <v>9</v>
      </c>
      <c r="I15" s="37">
        <f t="shared" si="1"/>
        <v>9</v>
      </c>
      <c r="J15" s="39">
        <v>7</v>
      </c>
      <c r="K15" s="37">
        <f>IF(NOT(ISBLANK(D15)), IF(G15=1, J15, D15), J15)</f>
        <v>7</v>
      </c>
      <c r="L15" s="37">
        <f>IF(OR(G15&gt;0, ISBLANK(D15)), E15*28*K15/10, 0)</f>
        <v>78.400000000000006</v>
      </c>
      <c r="M15" s="28">
        <v>1</v>
      </c>
      <c r="N15" s="17" t="b">
        <f t="shared" si="2"/>
        <v>0</v>
      </c>
    </row>
    <row r="16" spans="1:14" x14ac:dyDescent="0.25">
      <c r="A16" s="27"/>
      <c r="B16" s="17" t="s">
        <v>64</v>
      </c>
      <c r="C16" s="37">
        <v>1</v>
      </c>
      <c r="D16"/>
      <c r="E16" s="37">
        <v>3</v>
      </c>
      <c r="F16" s="36" t="str">
        <f t="shared" si="0"/>
        <v>Pending</v>
      </c>
      <c r="G16" s="38"/>
      <c r="H16" s="39">
        <v>9</v>
      </c>
      <c r="I16" s="37">
        <f t="shared" si="1"/>
        <v>9</v>
      </c>
      <c r="J16" s="39">
        <v>7</v>
      </c>
      <c r="K16" s="37">
        <f>IF(NOT(ISBLANK(D16)), IF(G16=1, J16, D16), J16)</f>
        <v>7</v>
      </c>
      <c r="L16" s="37">
        <f>IF(OR(G16&gt;0, ISBLANK(D16)), E16*28*K16/10, 0)</f>
        <v>58.8</v>
      </c>
      <c r="M16" s="28">
        <v>1</v>
      </c>
      <c r="N16" s="17" t="b">
        <f t="shared" si="2"/>
        <v>0</v>
      </c>
    </row>
    <row r="17" spans="1:14" x14ac:dyDescent="0.25">
      <c r="A17" s="27"/>
      <c r="B17" s="17" t="s">
        <v>48</v>
      </c>
      <c r="C17" s="37">
        <v>1</v>
      </c>
      <c r="D17"/>
      <c r="E17" s="37">
        <v>3</v>
      </c>
      <c r="F17" s="36" t="str">
        <f t="shared" si="0"/>
        <v>Pending</v>
      </c>
      <c r="G17" s="38"/>
      <c r="H17" s="39">
        <v>9</v>
      </c>
      <c r="I17" s="37">
        <f t="shared" si="1"/>
        <v>9</v>
      </c>
      <c r="J17" s="39">
        <v>7</v>
      </c>
      <c r="K17" s="37">
        <f>IF(NOT(ISBLANK(D17)), IF(G17=1, J17, D17), J17)</f>
        <v>7</v>
      </c>
      <c r="L17" s="37">
        <f>IF(OR(G17&gt;0, ISBLANK(D17)), E17*28*K17/10, 0)</f>
        <v>58.8</v>
      </c>
      <c r="M17" s="28">
        <v>1</v>
      </c>
      <c r="N17" s="17" t="b">
        <f t="shared" si="2"/>
        <v>0</v>
      </c>
    </row>
    <row r="18" spans="1:14" x14ac:dyDescent="0.25">
      <c r="A18" s="27"/>
      <c r="B18" s="17" t="s">
        <v>49</v>
      </c>
      <c r="C18" s="37">
        <v>1</v>
      </c>
      <c r="D18"/>
      <c r="E18" s="37">
        <v>2</v>
      </c>
      <c r="F18" s="36" t="str">
        <f t="shared" si="0"/>
        <v>Pending</v>
      </c>
      <c r="G18" s="38"/>
      <c r="H18" s="39">
        <v>9</v>
      </c>
      <c r="I18" s="37">
        <f t="shared" si="1"/>
        <v>9</v>
      </c>
      <c r="J18" s="39">
        <v>7</v>
      </c>
      <c r="K18" s="37">
        <f>IF(NOT(ISBLANK(D18)), IF(G18=1, J18, D18), J18)</f>
        <v>7</v>
      </c>
      <c r="L18" s="37">
        <f>IF(OR(G18&gt;0, ISBLANK(D18)), E18*28*K18/10, 0)</f>
        <v>39.200000000000003</v>
      </c>
      <c r="M18" s="28">
        <v>1</v>
      </c>
      <c r="N18" s="17" t="b">
        <f t="shared" si="2"/>
        <v>0</v>
      </c>
    </row>
    <row r="19" spans="1:14" x14ac:dyDescent="0.25">
      <c r="A19" s="27"/>
      <c r="B19" s="17" t="s">
        <v>47</v>
      </c>
      <c r="C19" s="37">
        <v>4</v>
      </c>
      <c r="D19"/>
      <c r="E19" s="37">
        <v>3</v>
      </c>
      <c r="F19" s="36" t="str">
        <f t="shared" si="0"/>
        <v>Pending</v>
      </c>
      <c r="G19" s="38"/>
      <c r="H19" s="39">
        <v>9</v>
      </c>
      <c r="I19" s="37">
        <f t="shared" si="1"/>
        <v>9</v>
      </c>
      <c r="J19" s="39">
        <v>7</v>
      </c>
      <c r="K19" s="37">
        <f>IF(NOT(ISBLANK(D19)), IF(G19=1, J19, D19), J19)</f>
        <v>7</v>
      </c>
      <c r="L19" s="37">
        <f>IF(OR(G19&gt;0, ISBLANK(D19)), E19*28*K19/10, 0)</f>
        <v>58.8</v>
      </c>
      <c r="M19" s="28">
        <v>2</v>
      </c>
      <c r="N19" s="17" t="b">
        <f t="shared" si="2"/>
        <v>0</v>
      </c>
    </row>
    <row r="20" spans="1:14" x14ac:dyDescent="0.25">
      <c r="A20" s="27"/>
      <c r="B20" s="18" t="s">
        <v>42</v>
      </c>
      <c r="C20" s="40">
        <v>4</v>
      </c>
      <c r="D20"/>
      <c r="E20" s="37">
        <v>4</v>
      </c>
      <c r="F20" s="36" t="str">
        <f t="shared" si="0"/>
        <v>Pending</v>
      </c>
      <c r="G20" s="38"/>
      <c r="H20" s="39">
        <v>9</v>
      </c>
      <c r="I20" s="37">
        <f t="shared" si="1"/>
        <v>9</v>
      </c>
      <c r="J20" s="39">
        <v>7</v>
      </c>
      <c r="K20" s="37">
        <f>IF(NOT(ISBLANK(D20)), IF(G20=1, J20, D20), J20)</f>
        <v>7</v>
      </c>
      <c r="L20" s="37">
        <f>IF(OR(G20&gt;0, ISBLANK(D20)), E20*28*K20/10, 0)</f>
        <v>78.400000000000006</v>
      </c>
      <c r="M20" s="28">
        <v>2</v>
      </c>
      <c r="N20" s="17" t="b">
        <f t="shared" si="2"/>
        <v>0</v>
      </c>
    </row>
    <row r="21" spans="1:14" x14ac:dyDescent="0.25">
      <c r="A21" s="27"/>
      <c r="B21" s="17" t="s">
        <v>46</v>
      </c>
      <c r="C21" s="37">
        <v>4</v>
      </c>
      <c r="D21"/>
      <c r="E21" s="37">
        <v>4</v>
      </c>
      <c r="F21" s="36" t="str">
        <f t="shared" si="0"/>
        <v>Pending</v>
      </c>
      <c r="G21" s="38"/>
      <c r="H21" s="39">
        <v>9</v>
      </c>
      <c r="I21" s="37">
        <f t="shared" si="1"/>
        <v>9</v>
      </c>
      <c r="J21" s="39">
        <v>7</v>
      </c>
      <c r="K21" s="37">
        <f>IF(NOT(ISBLANK(D21)), IF(G21=1, J21, D21), J21)</f>
        <v>7</v>
      </c>
      <c r="L21" s="37">
        <f>IF(OR(G21&gt;0, ISBLANK(D21)), E21*28*K21/10, 0)</f>
        <v>78.400000000000006</v>
      </c>
      <c r="M21" s="28">
        <v>2</v>
      </c>
      <c r="N21" s="17" t="b">
        <f t="shared" si="2"/>
        <v>0</v>
      </c>
    </row>
    <row r="22" spans="1:14" x14ac:dyDescent="0.25">
      <c r="A22" s="27"/>
      <c r="B22" s="17" t="s">
        <v>40</v>
      </c>
      <c r="C22" s="37">
        <v>4</v>
      </c>
      <c r="D22"/>
      <c r="E22" s="37">
        <v>3</v>
      </c>
      <c r="F22" s="36" t="str">
        <f t="shared" si="0"/>
        <v>Pending</v>
      </c>
      <c r="G22" s="38"/>
      <c r="H22" s="39">
        <v>9</v>
      </c>
      <c r="I22" s="37">
        <f t="shared" si="1"/>
        <v>9</v>
      </c>
      <c r="J22" s="39">
        <v>7</v>
      </c>
      <c r="K22" s="37">
        <f>IF(NOT(ISBLANK(D22)), IF(G22=1, J22, D22), J22)</f>
        <v>7</v>
      </c>
      <c r="L22" s="37">
        <f>IF(OR(G22&gt;0, ISBLANK(D22)), E22*28*K22/10, 0)</f>
        <v>58.8</v>
      </c>
      <c r="M22" s="28">
        <v>2</v>
      </c>
      <c r="N22" s="17" t="b">
        <f t="shared" si="2"/>
        <v>0</v>
      </c>
    </row>
    <row r="23" spans="1:14" x14ac:dyDescent="0.25">
      <c r="A23" s="27"/>
      <c r="B23" s="17" t="s">
        <v>45</v>
      </c>
      <c r="C23" s="37">
        <v>4</v>
      </c>
      <c r="D23"/>
      <c r="E23" s="37">
        <v>3</v>
      </c>
      <c r="F23" s="36" t="str">
        <f t="shared" si="0"/>
        <v>Pending</v>
      </c>
      <c r="G23" s="38"/>
      <c r="H23" s="39">
        <v>9</v>
      </c>
      <c r="I23" s="37">
        <f t="shared" si="1"/>
        <v>9</v>
      </c>
      <c r="J23" s="39">
        <v>7</v>
      </c>
      <c r="K23" s="37">
        <f>IF(NOT(ISBLANK(D23)), IF(G23=1, J23, D23), J23)</f>
        <v>7</v>
      </c>
      <c r="L23" s="37">
        <f>IF(OR(G23&gt;0, ISBLANK(D23)), E23*28*K23/10, 0)</f>
        <v>58.8</v>
      </c>
      <c r="M23" s="28">
        <v>2</v>
      </c>
      <c r="N23" s="17" t="b">
        <f t="shared" si="2"/>
        <v>0</v>
      </c>
    </row>
    <row r="24" spans="1:14" x14ac:dyDescent="0.25">
      <c r="A24" s="27"/>
      <c r="B24" s="17" t="s">
        <v>43</v>
      </c>
      <c r="C24" s="40">
        <v>3</v>
      </c>
      <c r="D24"/>
      <c r="E24" s="37">
        <v>4</v>
      </c>
      <c r="F24" s="36" t="str">
        <f t="shared" si="0"/>
        <v>Pending</v>
      </c>
      <c r="G24" s="38"/>
      <c r="H24" s="39">
        <v>9</v>
      </c>
      <c r="I24" s="37">
        <f t="shared" si="1"/>
        <v>9</v>
      </c>
      <c r="J24" s="39">
        <v>7</v>
      </c>
      <c r="K24" s="37">
        <f>IF(NOT(ISBLANK(D24)), IF(G24=1, J24, D24), J24)</f>
        <v>7</v>
      </c>
      <c r="L24" s="37">
        <f>IF(OR(G24&gt;0, ISBLANK(D24)), E24*28*K24/10, 0)</f>
        <v>78.400000000000006</v>
      </c>
      <c r="M24" s="28">
        <v>2</v>
      </c>
      <c r="N24" s="17" t="b">
        <f t="shared" si="2"/>
        <v>0</v>
      </c>
    </row>
    <row r="25" spans="1:14" x14ac:dyDescent="0.25">
      <c r="A25" s="27"/>
      <c r="B25" s="17" t="s">
        <v>44</v>
      </c>
      <c r="C25" s="37">
        <v>3</v>
      </c>
      <c r="D25"/>
      <c r="E25" s="37">
        <v>3</v>
      </c>
      <c r="F25" s="36" t="str">
        <f t="shared" si="0"/>
        <v>Pending</v>
      </c>
      <c r="G25" s="38"/>
      <c r="H25" s="39">
        <v>9</v>
      </c>
      <c r="I25" s="37">
        <f t="shared" si="1"/>
        <v>9</v>
      </c>
      <c r="J25" s="39">
        <v>7</v>
      </c>
      <c r="K25" s="37">
        <f>IF(NOT(ISBLANK(D25)), IF(G25=1, J25, D25), J25)</f>
        <v>7</v>
      </c>
      <c r="L25" s="37">
        <f>IF(OR(G25&gt;0, ISBLANK(D25)), E25*28*K25/10, 0)</f>
        <v>58.8</v>
      </c>
      <c r="M25" s="28">
        <v>2</v>
      </c>
      <c r="N25" s="17" t="b">
        <f t="shared" si="2"/>
        <v>0</v>
      </c>
    </row>
    <row r="26" spans="1:14" x14ac:dyDescent="0.25">
      <c r="A26" s="27"/>
      <c r="B26" s="17" t="s">
        <v>41</v>
      </c>
      <c r="C26" s="37">
        <v>3</v>
      </c>
      <c r="D26"/>
      <c r="E26" s="37">
        <v>5</v>
      </c>
      <c r="F26" s="36" t="str">
        <f t="shared" si="0"/>
        <v>Pending</v>
      </c>
      <c r="G26" s="38"/>
      <c r="H26" s="39">
        <v>9</v>
      </c>
      <c r="I26" s="37">
        <f t="shared" si="1"/>
        <v>9</v>
      </c>
      <c r="J26" s="39">
        <v>7</v>
      </c>
      <c r="K26" s="37">
        <f>IF(NOT(ISBLANK(D26)), IF(G26=1, J26, D26), J26)</f>
        <v>7</v>
      </c>
      <c r="L26" s="37">
        <f>IF(OR(G26&gt;0, ISBLANK(D26)), E26*28*K26/10, 0)</f>
        <v>98</v>
      </c>
      <c r="M26" s="28">
        <v>2</v>
      </c>
      <c r="N26" s="17" t="b">
        <f t="shared" si="2"/>
        <v>0</v>
      </c>
    </row>
    <row r="27" spans="1:14" x14ac:dyDescent="0.25">
      <c r="A27" s="27"/>
      <c r="B27" s="17" t="s">
        <v>37</v>
      </c>
      <c r="C27" s="37">
        <v>2</v>
      </c>
      <c r="D27"/>
      <c r="E27" s="37">
        <v>3</v>
      </c>
      <c r="F27" s="36" t="str">
        <f t="shared" si="0"/>
        <v>Pending</v>
      </c>
      <c r="G27" s="38"/>
      <c r="H27" s="39">
        <v>9</v>
      </c>
      <c r="I27" s="37">
        <f t="shared" si="1"/>
        <v>9</v>
      </c>
      <c r="J27" s="39">
        <v>7</v>
      </c>
      <c r="K27" s="37">
        <f>IF(NOT(ISBLANK(D27)), IF(G27=1, J27, D27), J27)</f>
        <v>7</v>
      </c>
      <c r="L27" s="37">
        <f>IF(OR(G27&gt;0, ISBLANK(D27)), E27*28*K27/10, 0)</f>
        <v>58.8</v>
      </c>
      <c r="M27" s="28">
        <v>2</v>
      </c>
      <c r="N27" s="17" t="b">
        <f t="shared" si="2"/>
        <v>0</v>
      </c>
    </row>
    <row r="28" spans="1:14" x14ac:dyDescent="0.25">
      <c r="A28" s="27"/>
      <c r="B28" s="17" t="s">
        <v>38</v>
      </c>
      <c r="C28" s="37">
        <v>2</v>
      </c>
      <c r="D28"/>
      <c r="E28" s="37">
        <v>5</v>
      </c>
      <c r="F28" s="36" t="str">
        <f t="shared" si="0"/>
        <v>Pending</v>
      </c>
      <c r="G28" s="38"/>
      <c r="H28" s="39">
        <v>9</v>
      </c>
      <c r="I28" s="37">
        <f t="shared" si="1"/>
        <v>9</v>
      </c>
      <c r="J28" s="39">
        <v>7</v>
      </c>
      <c r="K28" s="37">
        <f>IF(NOT(ISBLANK(D28)), IF(G28=1, J28, D28), J28)</f>
        <v>7</v>
      </c>
      <c r="L28" s="37">
        <f>IF(OR(G28&gt;0, ISBLANK(D28)), E28*28*K28/10, 0)</f>
        <v>98</v>
      </c>
      <c r="M28" s="28">
        <v>2</v>
      </c>
      <c r="N28" s="17" t="b">
        <f t="shared" si="2"/>
        <v>0</v>
      </c>
    </row>
    <row r="29" spans="1:14" x14ac:dyDescent="0.25">
      <c r="A29" s="27"/>
      <c r="B29" s="17" t="s">
        <v>39</v>
      </c>
      <c r="C29" s="37">
        <v>2</v>
      </c>
      <c r="D29"/>
      <c r="E29" s="37">
        <v>3</v>
      </c>
      <c r="F29" s="36" t="str">
        <f t="shared" si="0"/>
        <v>Pending</v>
      </c>
      <c r="G29" s="38"/>
      <c r="H29" s="39">
        <v>9</v>
      </c>
      <c r="I29" s="37">
        <f t="shared" si="1"/>
        <v>9</v>
      </c>
      <c r="J29" s="39">
        <v>7</v>
      </c>
      <c r="K29" s="37">
        <f>IF(NOT(ISBLANK(D29)), IF(G29=1, J29, D29), J29)</f>
        <v>7</v>
      </c>
      <c r="L29" s="37">
        <f>IF(OR(G29&gt;0, ISBLANK(D29)), E29*28*K29/10, 0)</f>
        <v>58.8</v>
      </c>
      <c r="M29" s="28">
        <v>2</v>
      </c>
      <c r="N29" s="17" t="b">
        <f t="shared" si="2"/>
        <v>0</v>
      </c>
    </row>
    <row r="30" spans="1:14" x14ac:dyDescent="0.25">
      <c r="A30" s="27"/>
      <c r="B30" s="17" t="s">
        <v>36</v>
      </c>
      <c r="C30" s="37">
        <v>2</v>
      </c>
      <c r="D30"/>
      <c r="E30" s="37">
        <v>1</v>
      </c>
      <c r="F30" s="36" t="str">
        <f t="shared" si="0"/>
        <v>Pending</v>
      </c>
      <c r="G30" s="38"/>
      <c r="H30" s="39">
        <v>9</v>
      </c>
      <c r="I30" s="37">
        <f t="shared" si="1"/>
        <v>9</v>
      </c>
      <c r="J30" s="39">
        <v>7</v>
      </c>
      <c r="K30" s="37">
        <f>IF(NOT(ISBLANK(D30)), IF(G30=1, J30, D30), J30)</f>
        <v>7</v>
      </c>
      <c r="L30" s="37">
        <f>IF(OR(G30&gt;0, ISBLANK(D30)), E30*28*K30/10, 0)</f>
        <v>19.600000000000001</v>
      </c>
      <c r="M30" s="28">
        <v>2</v>
      </c>
      <c r="N30" s="17" t="b">
        <f t="shared" si="2"/>
        <v>0</v>
      </c>
    </row>
    <row r="31" spans="1:14" x14ac:dyDescent="0.25">
      <c r="A31" s="27"/>
      <c r="B31" s="17" t="s">
        <v>67</v>
      </c>
      <c r="C31" s="37">
        <v>1</v>
      </c>
      <c r="D31"/>
      <c r="E31" s="37">
        <v>4</v>
      </c>
      <c r="F31" s="36" t="str">
        <f t="shared" si="0"/>
        <v>Pending</v>
      </c>
      <c r="G31" s="38"/>
      <c r="H31" s="39">
        <v>9</v>
      </c>
      <c r="I31" s="37">
        <f t="shared" si="1"/>
        <v>9</v>
      </c>
      <c r="J31" s="39">
        <v>7</v>
      </c>
      <c r="K31" s="37">
        <f>IF(NOT(ISBLANK(D31)), IF(G31=1, J31, D31), J31)</f>
        <v>7</v>
      </c>
      <c r="L31" s="37">
        <f>IF(OR(G31&gt;0, ISBLANK(D31)), E31*28*K31/10, 0)</f>
        <v>78.400000000000006</v>
      </c>
      <c r="M31" s="28">
        <v>2</v>
      </c>
      <c r="N31" s="17" t="b">
        <f t="shared" si="2"/>
        <v>0</v>
      </c>
    </row>
    <row r="32" spans="1:14" x14ac:dyDescent="0.25">
      <c r="A32" s="27"/>
      <c r="B32" s="17" t="s">
        <v>35</v>
      </c>
      <c r="C32" s="37">
        <v>1</v>
      </c>
      <c r="D32"/>
      <c r="E32" s="37">
        <v>3</v>
      </c>
      <c r="F32" s="36" t="str">
        <f t="shared" si="0"/>
        <v>Pending</v>
      </c>
      <c r="G32" s="38"/>
      <c r="H32" s="39">
        <v>9</v>
      </c>
      <c r="I32" s="37">
        <f t="shared" si="1"/>
        <v>9</v>
      </c>
      <c r="J32" s="39">
        <v>7</v>
      </c>
      <c r="K32" s="37">
        <f>IF(NOT(ISBLANK(D32)), IF(G32=1, J32, D32), J32)</f>
        <v>7</v>
      </c>
      <c r="L32" s="37">
        <f>IF(OR(G32&gt;0, ISBLANK(D32)), E32*28*K32/10, 0)</f>
        <v>58.8</v>
      </c>
      <c r="M32" s="28">
        <v>2</v>
      </c>
      <c r="N32" s="17" t="b">
        <f t="shared" si="2"/>
        <v>0</v>
      </c>
    </row>
    <row r="33" spans="1:14" x14ac:dyDescent="0.25">
      <c r="A33" s="27"/>
      <c r="B33" s="17" t="s">
        <v>33</v>
      </c>
      <c r="C33" s="37">
        <v>1</v>
      </c>
      <c r="D33"/>
      <c r="E33" s="37">
        <v>3</v>
      </c>
      <c r="F33" s="36" t="str">
        <f t="shared" si="0"/>
        <v>Pending</v>
      </c>
      <c r="G33" s="38"/>
      <c r="H33" s="39">
        <v>9</v>
      </c>
      <c r="I33" s="37">
        <f t="shared" si="1"/>
        <v>9</v>
      </c>
      <c r="J33" s="39">
        <v>7</v>
      </c>
      <c r="K33" s="37">
        <f>IF(NOT(ISBLANK(D33)), IF(G33=1, J33, D33), J33)</f>
        <v>7</v>
      </c>
      <c r="L33" s="37">
        <f>IF(OR(G33&gt;0, ISBLANK(D33)), E33*28*K33/10, 0)</f>
        <v>58.8</v>
      </c>
      <c r="M33" s="28">
        <v>2</v>
      </c>
      <c r="N33" s="17" t="b">
        <f t="shared" si="2"/>
        <v>0</v>
      </c>
    </row>
    <row r="34" spans="1:14" x14ac:dyDescent="0.25">
      <c r="A34" s="27"/>
      <c r="B34" s="17" t="s">
        <v>66</v>
      </c>
      <c r="C34" s="37">
        <v>1</v>
      </c>
      <c r="D34"/>
      <c r="E34" s="37">
        <v>4</v>
      </c>
      <c r="F34" s="36" t="str">
        <f t="shared" si="0"/>
        <v>Pending</v>
      </c>
      <c r="G34" s="38"/>
      <c r="H34" s="39">
        <v>9</v>
      </c>
      <c r="I34" s="37">
        <f t="shared" si="1"/>
        <v>9</v>
      </c>
      <c r="J34" s="39">
        <v>7</v>
      </c>
      <c r="K34" s="37">
        <f>IF(NOT(ISBLANK(D34)), IF(G34=1, J34, D34), J34)</f>
        <v>7</v>
      </c>
      <c r="L34" s="37">
        <f>IF(OR(G34&gt;0, ISBLANK(D34)), E34*28*K34/10, 0)</f>
        <v>78.400000000000006</v>
      </c>
      <c r="M34" s="28">
        <v>2</v>
      </c>
      <c r="N34" s="17" t="b">
        <f t="shared" si="2"/>
        <v>0</v>
      </c>
    </row>
    <row r="35" spans="1:14" x14ac:dyDescent="0.25">
      <c r="A35" s="27"/>
      <c r="B35" s="17" t="s">
        <v>32</v>
      </c>
      <c r="C35" s="37">
        <v>1</v>
      </c>
      <c r="D35"/>
      <c r="E35" s="37">
        <v>5</v>
      </c>
      <c r="F35" s="36" t="str">
        <f t="shared" si="0"/>
        <v>Pending</v>
      </c>
      <c r="G35" s="38"/>
      <c r="H35" s="39">
        <v>9</v>
      </c>
      <c r="I35" s="37">
        <f t="shared" si="1"/>
        <v>9</v>
      </c>
      <c r="J35" s="39">
        <v>7</v>
      </c>
      <c r="K35" s="37">
        <f>IF(NOT(ISBLANK(D35)), IF(G35=1, J35, D35), J35)</f>
        <v>7</v>
      </c>
      <c r="L35" s="37">
        <f>IF(OR(G35&gt;0, ISBLANK(D35)), E35*28*K35/10, 0)</f>
        <v>98</v>
      </c>
      <c r="M35" s="28">
        <v>2</v>
      </c>
      <c r="N35" s="17" t="b">
        <f t="shared" si="2"/>
        <v>0</v>
      </c>
    </row>
    <row r="36" spans="1:14" x14ac:dyDescent="0.25">
      <c r="A36" s="27"/>
      <c r="B36" s="17" t="s">
        <v>28</v>
      </c>
      <c r="C36" s="37">
        <v>3</v>
      </c>
      <c r="D36"/>
      <c r="E36" s="37">
        <v>5</v>
      </c>
      <c r="F36" s="36" t="str">
        <f t="shared" si="0"/>
        <v>Pending</v>
      </c>
      <c r="G36" s="38"/>
      <c r="H36" s="39">
        <v>9</v>
      </c>
      <c r="I36" s="37">
        <f t="shared" si="1"/>
        <v>9</v>
      </c>
      <c r="J36" s="39">
        <v>7</v>
      </c>
      <c r="K36" s="37">
        <f>IF(NOT(ISBLANK(D36)), IF(G36=1, J36, D36), J36)</f>
        <v>7</v>
      </c>
      <c r="L36" s="37">
        <f>IF(OR(G36&gt;0, ISBLANK(D36)), E36*28*K36/10, 0)</f>
        <v>98</v>
      </c>
      <c r="M36" s="28">
        <v>3</v>
      </c>
      <c r="N36" s="17" t="b">
        <f t="shared" si="2"/>
        <v>0</v>
      </c>
    </row>
    <row r="37" spans="1:14" x14ac:dyDescent="0.25">
      <c r="A37" s="27"/>
      <c r="B37" s="17" t="s">
        <v>29</v>
      </c>
      <c r="C37" s="37">
        <v>3</v>
      </c>
      <c r="D37"/>
      <c r="E37" s="37">
        <v>4</v>
      </c>
      <c r="F37" s="36" t="str">
        <f t="shared" si="0"/>
        <v>Pending</v>
      </c>
      <c r="G37" s="38"/>
      <c r="H37" s="39">
        <v>9</v>
      </c>
      <c r="I37" s="37">
        <f t="shared" si="1"/>
        <v>9</v>
      </c>
      <c r="J37" s="39">
        <v>7</v>
      </c>
      <c r="K37" s="37">
        <f>IF(NOT(ISBLANK(D37)), IF(G37=1, J37, D37), J37)</f>
        <v>7</v>
      </c>
      <c r="L37" s="37">
        <f>IF(OR(G37&gt;0, ISBLANK(D37)), E37*28*K37/10, 0)</f>
        <v>78.400000000000006</v>
      </c>
      <c r="M37" s="28">
        <v>3</v>
      </c>
      <c r="N37" s="17" t="b">
        <f t="shared" si="2"/>
        <v>0</v>
      </c>
    </row>
    <row r="38" spans="1:14" x14ac:dyDescent="0.25">
      <c r="A38" s="27"/>
      <c r="B38" s="17" t="s">
        <v>31</v>
      </c>
      <c r="C38" s="37">
        <v>3</v>
      </c>
      <c r="D38"/>
      <c r="E38" s="37">
        <v>3</v>
      </c>
      <c r="F38" s="36" t="str">
        <f t="shared" si="0"/>
        <v>Pending</v>
      </c>
      <c r="G38" s="38"/>
      <c r="H38" s="39">
        <v>9</v>
      </c>
      <c r="I38" s="37">
        <f t="shared" si="1"/>
        <v>9</v>
      </c>
      <c r="J38" s="39">
        <v>7</v>
      </c>
      <c r="K38" s="37">
        <f>IF(NOT(ISBLANK(D38)), IF(G38=1, J38, D38), J38)</f>
        <v>7</v>
      </c>
      <c r="L38" s="37">
        <f>IF(OR(G38&gt;0, ISBLANK(D38)), E38*28*K38/10, 0)</f>
        <v>58.8</v>
      </c>
      <c r="M38" s="28">
        <v>3</v>
      </c>
      <c r="N38" s="17" t="b">
        <f t="shared" si="2"/>
        <v>0</v>
      </c>
    </row>
    <row r="39" spans="1:14" x14ac:dyDescent="0.25">
      <c r="A39" s="27"/>
      <c r="B39" s="17" t="s">
        <v>30</v>
      </c>
      <c r="C39" s="37">
        <v>3</v>
      </c>
      <c r="D39"/>
      <c r="E39" s="37">
        <v>3</v>
      </c>
      <c r="F39" s="36" t="str">
        <f t="shared" si="0"/>
        <v>Pending</v>
      </c>
      <c r="G39" s="38"/>
      <c r="H39" s="39">
        <v>9</v>
      </c>
      <c r="I39" s="37">
        <f t="shared" si="1"/>
        <v>9</v>
      </c>
      <c r="J39" s="39">
        <v>7</v>
      </c>
      <c r="K39" s="37">
        <f>IF(NOT(ISBLANK(D39)), IF(G39=1, J39, D39), J39)</f>
        <v>7</v>
      </c>
      <c r="L39" s="37">
        <f>IF(OR(G39&gt;0, ISBLANK(D39)), E39*28*K39/10, 0)</f>
        <v>58.8</v>
      </c>
      <c r="M39" s="28">
        <v>3</v>
      </c>
      <c r="N39" s="17" t="b">
        <f t="shared" si="2"/>
        <v>0</v>
      </c>
    </row>
    <row r="40" spans="1:14" x14ac:dyDescent="0.25">
      <c r="A40" s="27"/>
      <c r="B40" s="17" t="s">
        <v>1</v>
      </c>
      <c r="C40" s="37">
        <v>2</v>
      </c>
      <c r="D40"/>
      <c r="E40" s="37">
        <v>15</v>
      </c>
      <c r="F40" s="36" t="str">
        <f t="shared" si="0"/>
        <v>Pending</v>
      </c>
      <c r="G40" s="38"/>
      <c r="H40" s="39">
        <v>9</v>
      </c>
      <c r="I40" s="37">
        <f t="shared" si="1"/>
        <v>9</v>
      </c>
      <c r="J40" s="39">
        <v>7</v>
      </c>
      <c r="K40" s="37">
        <f>IF(NOT(ISBLANK(D40)), IF(G40=1, J40, D40), J40)</f>
        <v>7</v>
      </c>
      <c r="L40" s="37">
        <f>IF(OR(G40&gt;0, ISBLANK(D40)), E40*28*K40/10, 0)</f>
        <v>294</v>
      </c>
      <c r="M40" s="28">
        <v>3</v>
      </c>
      <c r="N40" s="17" t="b">
        <f t="shared" si="2"/>
        <v>0</v>
      </c>
    </row>
    <row r="41" spans="1:14" x14ac:dyDescent="0.25">
      <c r="A41" s="27"/>
      <c r="B41" s="17" t="s">
        <v>0</v>
      </c>
      <c r="C41" s="37">
        <v>2</v>
      </c>
      <c r="D41"/>
      <c r="E41" s="37">
        <v>15</v>
      </c>
      <c r="F41" s="36" t="str">
        <f t="shared" si="0"/>
        <v>Pending</v>
      </c>
      <c r="G41" s="38"/>
      <c r="H41" s="39">
        <v>9</v>
      </c>
      <c r="I41" s="37">
        <f t="shared" si="1"/>
        <v>9</v>
      </c>
      <c r="J41" s="39">
        <v>7</v>
      </c>
      <c r="K41" s="37">
        <f>IF(NOT(ISBLANK(D41)), IF(G41=1, J41, D41), J41)</f>
        <v>7</v>
      </c>
      <c r="L41" s="37">
        <f>IF(OR(G41&gt;0, ISBLANK(D41)), E41*28*K41/10, 0)</f>
        <v>294</v>
      </c>
      <c r="M41" s="28" t="s">
        <v>59</v>
      </c>
      <c r="N41" s="17" t="b">
        <f t="shared" si="2"/>
        <v>0</v>
      </c>
    </row>
    <row r="42" spans="1:14" x14ac:dyDescent="0.25">
      <c r="A42" s="27"/>
      <c r="B42" s="17" t="s">
        <v>20</v>
      </c>
      <c r="C42" s="37">
        <v>1</v>
      </c>
      <c r="D42"/>
      <c r="E42" s="37">
        <v>4</v>
      </c>
      <c r="F42" s="36" t="str">
        <f t="shared" si="0"/>
        <v>Pending</v>
      </c>
      <c r="G42" s="38"/>
      <c r="H42" s="39">
        <v>9</v>
      </c>
      <c r="I42" s="37">
        <f t="shared" si="1"/>
        <v>9</v>
      </c>
      <c r="J42" s="39">
        <v>7</v>
      </c>
      <c r="K42" s="37">
        <f>IF(NOT(ISBLANK(D42)), IF(G42=1, J42, D42), J42)</f>
        <v>7</v>
      </c>
      <c r="L42" s="37">
        <f>IF(OR(G42&gt;0, ISBLANK(D42)), E42*28*K42/10, 0)</f>
        <v>78.400000000000006</v>
      </c>
      <c r="M42" s="28" t="s">
        <v>59</v>
      </c>
      <c r="N42" s="17" t="b">
        <f t="shared" si="2"/>
        <v>0</v>
      </c>
    </row>
    <row r="43" spans="1:14" x14ac:dyDescent="0.25">
      <c r="A43" s="27"/>
      <c r="B43" s="17" t="s">
        <v>24</v>
      </c>
      <c r="C43" s="37">
        <v>1</v>
      </c>
      <c r="D43"/>
      <c r="E43" s="37">
        <v>1</v>
      </c>
      <c r="F43" s="36" t="str">
        <f t="shared" si="0"/>
        <v>Pending</v>
      </c>
      <c r="G43" s="38"/>
      <c r="H43" s="39">
        <v>9</v>
      </c>
      <c r="I43" s="37">
        <f t="shared" si="1"/>
        <v>9</v>
      </c>
      <c r="J43" s="39">
        <v>7</v>
      </c>
      <c r="K43" s="37">
        <f>IF(NOT(ISBLANK(D43)), IF(G43=1, J43, D43), J43)</f>
        <v>7</v>
      </c>
      <c r="L43" s="37">
        <f>IF(OR(G43&gt;0, ISBLANK(D43)), E43*28*K43/10, 0)</f>
        <v>19.600000000000001</v>
      </c>
      <c r="M43" s="28" t="s">
        <v>59</v>
      </c>
      <c r="N43" s="17" t="b">
        <f t="shared" si="2"/>
        <v>0</v>
      </c>
    </row>
    <row r="44" spans="1:14" x14ac:dyDescent="0.25">
      <c r="A44" s="27"/>
      <c r="B44" s="17" t="s">
        <v>22</v>
      </c>
      <c r="C44" s="37">
        <v>1</v>
      </c>
      <c r="D44"/>
      <c r="E44" s="37">
        <v>2</v>
      </c>
      <c r="F44" s="36" t="str">
        <f t="shared" si="0"/>
        <v>Pending</v>
      </c>
      <c r="G44" s="38"/>
      <c r="H44" s="39">
        <v>9</v>
      </c>
      <c r="I44" s="37">
        <f t="shared" si="1"/>
        <v>9</v>
      </c>
      <c r="J44" s="39">
        <v>7</v>
      </c>
      <c r="K44" s="37">
        <f>IF(NOT(ISBLANK(D44)), IF(G44=1, J44, D44), J44)</f>
        <v>7</v>
      </c>
      <c r="L44" s="37">
        <f>IF(OR(G44&gt;0, ISBLANK(D44)), E44*28*K44/10, 0)</f>
        <v>39.200000000000003</v>
      </c>
      <c r="M44" s="28" t="s">
        <v>59</v>
      </c>
      <c r="N44" s="17" t="b">
        <f t="shared" si="2"/>
        <v>0</v>
      </c>
    </row>
    <row r="45" spans="1:14" x14ac:dyDescent="0.25">
      <c r="A45" s="27"/>
      <c r="B45" s="17" t="s">
        <v>16</v>
      </c>
      <c r="C45" s="37">
        <v>1</v>
      </c>
      <c r="D45"/>
      <c r="E45" s="37">
        <v>5</v>
      </c>
      <c r="F45" s="36" t="str">
        <f t="shared" si="0"/>
        <v>Pending</v>
      </c>
      <c r="G45" s="38"/>
      <c r="H45" s="39">
        <v>9</v>
      </c>
      <c r="I45" s="37">
        <f t="shared" si="1"/>
        <v>9</v>
      </c>
      <c r="J45" s="39">
        <v>7</v>
      </c>
      <c r="K45" s="37">
        <f>IF(NOT(ISBLANK(D45)), IF(G45=1, J45, D45), J45)</f>
        <v>7</v>
      </c>
      <c r="L45" s="37">
        <f>IF(OR(G45&gt;0, ISBLANK(D45)), E45*28*K45/10, 0)</f>
        <v>98</v>
      </c>
      <c r="M45" s="28" t="s">
        <v>59</v>
      </c>
      <c r="N45" s="17" t="b">
        <f t="shared" si="2"/>
        <v>0</v>
      </c>
    </row>
    <row r="46" spans="1:14" x14ac:dyDescent="0.25">
      <c r="A46" s="27"/>
      <c r="B46" s="17" t="s">
        <v>21</v>
      </c>
      <c r="C46" s="37">
        <v>1</v>
      </c>
      <c r="D46"/>
      <c r="E46" s="37">
        <v>3</v>
      </c>
      <c r="F46" s="36" t="str">
        <f t="shared" si="0"/>
        <v>Pending</v>
      </c>
      <c r="G46" s="38"/>
      <c r="H46" s="39">
        <v>9</v>
      </c>
      <c r="I46" s="37">
        <f t="shared" si="1"/>
        <v>9</v>
      </c>
      <c r="J46" s="39">
        <v>7</v>
      </c>
      <c r="K46" s="37">
        <f>IF(NOT(ISBLANK(D46)), IF(G46=1, J46, D46), J46)</f>
        <v>7</v>
      </c>
      <c r="L46" s="37">
        <f>IF(OR(G46&gt;0, ISBLANK(D46)), E46*28*K46/10, 0)</f>
        <v>58.8</v>
      </c>
      <c r="M46" s="28" t="s">
        <v>59</v>
      </c>
      <c r="N46" s="17" t="b">
        <f t="shared" si="2"/>
        <v>0</v>
      </c>
    </row>
  </sheetData>
  <sortState xmlns:xlrd2="http://schemas.microsoft.com/office/spreadsheetml/2017/richdata2" ref="B2:N46">
    <sortCondition ref="M2:M46"/>
  </sortState>
  <phoneticPr fontId="1" type="noConversion"/>
  <conditionalFormatting sqref="F2:F46">
    <cfRule type="expression" dxfId="36" priority="25">
      <formula>$F2="Definitive"</formula>
    </cfRule>
  </conditionalFormatting>
  <conditionalFormatting sqref="M2:M46">
    <cfRule type="expression" dxfId="35" priority="39">
      <formula>$M2="Minor"</formula>
    </cfRule>
    <cfRule type="expression" dxfId="34" priority="40">
      <formula>$M2=1</formula>
    </cfRule>
    <cfRule type="expression" dxfId="33" priority="41">
      <formula>$M2=2</formula>
    </cfRule>
    <cfRule type="expression" dxfId="32" priority="42">
      <formula>$M2=3</formula>
    </cfRule>
  </conditionalFormatting>
  <conditionalFormatting sqref="N2:N46">
    <cfRule type="expression" dxfId="31" priority="17">
      <formula>N2=FALSE</formula>
    </cfRule>
    <cfRule type="expression" dxfId="30" priority="18">
      <formula>N2=TRUE</formula>
    </cfRule>
  </conditionalFormatting>
  <conditionalFormatting sqref="G2:G46">
    <cfRule type="expression" dxfId="29" priority="1">
      <formula>AND(NOT(ISBLANK($D2)), $D2&lt;5, NOT($G2=1))</formula>
    </cfRule>
  </conditionalFormatting>
  <conditionalFormatting sqref="B2:B46 I2:I46 K2:K46 G2:G46">
    <cfRule type="expression" dxfId="21" priority="80">
      <formula>AND($D2&lt;5, NOT(ISBLANK($D2)))</formula>
    </cfRule>
    <cfRule type="expression" dxfId="20" priority="81">
      <formula>AND($G2=1, #REF!&gt;0, NOT(ISBLANK($D2)))</formula>
    </cfRule>
    <cfRule type="expression" dxfId="19" priority="82">
      <formula>ISBLANK($D2)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6546D-391E-460B-A2B9-056ED105E9B5}">
  <sheetPr codeName="Sheet4"/>
  <dimension ref="B1:N28"/>
  <sheetViews>
    <sheetView zoomScale="115" zoomScaleNormal="115" workbookViewId="0">
      <selection activeCell="H7" sqref="H7"/>
    </sheetView>
  </sheetViews>
  <sheetFormatPr defaultRowHeight="14.3" x14ac:dyDescent="0.25"/>
  <cols>
    <col min="1" max="1" width="2.75" style="1" customWidth="1"/>
    <col min="2" max="2" width="54" style="1" customWidth="1"/>
    <col min="3" max="3" width="9.375" style="1" customWidth="1"/>
    <col min="4" max="4" width="8.375" style="1" customWidth="1"/>
    <col min="5" max="5" width="10.75" style="16" customWidth="1"/>
    <col min="6" max="6" width="8.375" style="1" customWidth="1"/>
    <col min="7" max="7" width="16.875" style="1" customWidth="1"/>
    <col min="8" max="8" width="16.625" style="1" customWidth="1"/>
    <col min="9" max="9" width="15.5" style="1" customWidth="1"/>
    <col min="10" max="10" width="16.125" style="1" customWidth="1"/>
    <col min="11" max="11" width="25.5" style="1" customWidth="1"/>
    <col min="12" max="12" width="9" style="1"/>
    <col min="13" max="13" width="11.125" style="1" bestFit="1" customWidth="1"/>
    <col min="14" max="16384" width="9" style="1"/>
  </cols>
  <sheetData>
    <row r="1" spans="2:14" x14ac:dyDescent="0.25">
      <c r="B1" s="4" t="s">
        <v>25</v>
      </c>
      <c r="C1" s="4" t="s">
        <v>61</v>
      </c>
      <c r="D1" s="4" t="s">
        <v>26</v>
      </c>
      <c r="E1" s="35" t="s">
        <v>62</v>
      </c>
      <c r="F1" s="4" t="s">
        <v>83</v>
      </c>
      <c r="G1" s="4" t="s">
        <v>73</v>
      </c>
      <c r="H1" s="4" t="s">
        <v>102</v>
      </c>
      <c r="I1" s="4" t="s">
        <v>72</v>
      </c>
      <c r="J1" s="4" t="s">
        <v>103</v>
      </c>
    </row>
    <row r="2" spans="2:14" x14ac:dyDescent="0.25">
      <c r="B2" s="21" t="s">
        <v>12</v>
      </c>
      <c r="C2" s="19" cm="1">
        <f t="array" ref="C2">MROUND(SUMPRODUCT(_xlfn._xlws.FILTER(_xlfn._xlws.FILTER(Courses!$B$2:$E$46, IF(NOT(ISERROR(SEARCH(LEFT(B2,FIND(" ",B2)-1), Courses!$B$2:$B$46, 1))), TRUE, FALSE)), {0,0,1,0}), _xlfn._xlws.FILTER(_xlfn._xlws.FILTER(Courses!$B$2:$E$46, IF(NOT(ISERROR(SEARCH(LEFT(B2,FIND(" ",B2)-1), Courses!$B$2:$B$46, 1))), TRUE, FALSE)), {0,0,0,1}))/SUM(_xlfn._xlws.FILTER(_xlfn._xlws.FILTER(Courses!$B$2:$E$46, IF(NOT(ISERROR(SEARCH(LEFT(B2,FIND(" ",B2)-1), Courses!$B$2:$B$46, 1))), TRUE, FALSE)), {0,0,0,1})), 0.5)</f>
        <v>0</v>
      </c>
      <c r="D2" s="1" cm="1">
        <f t="array" ref="D2">SUM(_xlfn._xlws.FILTER(_xlfn._xlws.FILTER(Courses!$B$2:$E$46, IF(NOT(ISERROR(SEARCH(LEFT(B2,FIND(" ",B2)-1), Courses!$B$2:$B$46, 1))), TRUE, FALSE)), {0,0,0,1}))</f>
        <v>6</v>
      </c>
      <c r="E2" s="34" cm="1">
        <f t="array" ref="E2">_xlfn.XLOOKUP(1, --ISNUMBER(SEARCH(LEFT(B2,FIND(" ",B2)-1), Courses!$B$2:$B$46)), Courses!$M$2:$M$46, "no match")</f>
        <v>1</v>
      </c>
      <c r="F2" s="1" t="b" cm="1">
        <f t="array" ref="F2">AND(AND(_xlfn._xlws.FILTER(_xlfn._xlws.FILTER(Courses!$B$2:$N$46,IF(NOT(ISERROR(SEARCH(LEFT(B2,FIND(" ",B2)-1),Courses!$B$2:$B$46,1))),TRUE,FALSE)),{0,0,0,0,0,0,0,0,0,0,0,0,1})), C2&gt;5.99)</f>
        <v>0</v>
      </c>
      <c r="G2" s="1" cm="1">
        <f t="array" ref="G2">MROUND(SUMPRODUCT(
_xlfn._xlws.FILTER(_xlfn._xlws.FILTER(Courses!$B$2:$M$46, IF(NOT(ISERROR(SEARCH(LEFT(B2,FIND(" ",B2)-1), Courses!$B$2:$B$46, 1))), TRUE, FALSE)), {0,0,0,0,0,0,0,1,0,0,0,0}),
_xlfn._xlws.FILTER(_xlfn._xlws.FILTER(Courses!$B$2:$M$46, IF(NOT(ISERROR(SEARCH(LEFT(B2,FIND(" ",B2)-1), Courses!$B$2:$B$46, 1))), TRUE, FALSE)), {0,0,0,1,0,0,0,0,0,0,0,0}))
/SUM(_xlfn._xlws.FILTER(_xlfn._xlws.FILTER(Courses!$B$2:$M$46, IF(NOT(ISERROR(SEARCH(LEFT(B2,FIND(" ",B2)-1), Courses!$B$2:$B$46, 1))), TRUE, FALSE)), {0,0,0,1,0,0,0,0,0,0,0,0})), 0.5)</f>
        <v>9</v>
      </c>
      <c r="H2" s="1">
        <f>G2*D2/SUM($D$2:$D$28)</f>
        <v>0.3</v>
      </c>
      <c r="I2" s="1" cm="1">
        <f t="array" ref="I2">MROUND(SUMPRODUCT(
_xlfn._xlws.FILTER(_xlfn._xlws.FILTER(Courses!$B$2:$M$46, IF(NOT(ISERROR(SEARCH(LEFT(B2,FIND(" ",B2)-1), Courses!$B$2:$B$46, 1))), TRUE, FALSE)), {0,0,0,0,0,0,0,0,0,1,0,0}),
_xlfn._xlws.FILTER(_xlfn._xlws.FILTER(Courses!$B$2:$M$46, IF(NOT(ISERROR(SEARCH(LEFT(B2,FIND(" ",B2)-1), Courses!$B$2:$B$46, 1))), TRUE, FALSE)), {0,0,0,1,0,0,0,0,0,0,0,0}))
/SUM(_xlfn._xlws.FILTER(_xlfn._xlws.FILTER(Courses!$B$2:$M$46, IF(NOT(ISERROR(SEARCH(LEFT(B2,FIND(" ",B2)-1), Courses!$B$2:$B$46, 1))), TRUE, FALSE)), {0,0,0,1,0,0,0,0,0,0,0,0})), 0.5)</f>
        <v>7</v>
      </c>
      <c r="J2" s="1">
        <f>I2*D2/SUM($D$2:$D$28)</f>
        <v>0.23333333333333334</v>
      </c>
    </row>
    <row r="3" spans="2:14" x14ac:dyDescent="0.25">
      <c r="B3" s="1" t="s">
        <v>19</v>
      </c>
      <c r="C3" s="19" cm="1">
        <f t="array" ref="C3">MROUND(SUMPRODUCT(_xlfn._xlws.FILTER(_xlfn._xlws.FILTER(Courses!$B$2:$E$46, IF(NOT(ISERROR(SEARCH(LEFT(B3,FIND(" ",B3)-1), Courses!$B$2:$B$46, 1))), TRUE, FALSE)), {0,0,1,0}), _xlfn._xlws.FILTER(_xlfn._xlws.FILTER(Courses!$B$2:$E$46, IF(NOT(ISERROR(SEARCH(LEFT(B3,FIND(" ",B3)-1), Courses!$B$2:$B$46, 1))), TRUE, FALSE)), {0,0,0,1}))/SUM(_xlfn._xlws.FILTER(_xlfn._xlws.FILTER(Courses!$B$2:$E$46, IF(NOT(ISERROR(SEARCH(LEFT(B3,FIND(" ",B3)-1), Courses!$B$2:$B$46, 1))), TRUE, FALSE)), {0,0,0,1})), 0.5)</f>
        <v>9</v>
      </c>
      <c r="D3" s="1" cm="1">
        <f t="array" ref="D3">SUM(_xlfn._xlws.FILTER(_xlfn._xlws.FILTER(Courses!$B$2:$E$46, IF(NOT(ISERROR(SEARCH(LEFT(B3,FIND(" ",B3)-1), Courses!$B$2:$B$46, 1))), TRUE, FALSE)), {0,0,0,1}))</f>
        <v>5</v>
      </c>
      <c r="E3" s="34" cm="1">
        <f t="array" ref="E3">_xlfn.XLOOKUP(1, --ISNUMBER(SEARCH(LEFT(B3,FIND(" ",B3)-1), Courses!$B$2:$B$46)), Courses!$M$2:$M$46, "no match")</f>
        <v>1</v>
      </c>
      <c r="F3" s="1" t="b" cm="1">
        <f t="array" ref="F3">AND(AND(_xlfn._xlws.FILTER(_xlfn._xlws.FILTER(Courses!$B$2:$N$46,IF(NOT(ISERROR(SEARCH(LEFT(B3,FIND(" ",B3)-1),Courses!$B$2:$B$46,1))),TRUE,FALSE)),{0,0,0,0,0,0,0,0,0,0,0,0,1})), C3&gt;5.99)</f>
        <v>1</v>
      </c>
      <c r="G3" s="1" cm="1">
        <f t="array" ref="G3">MROUND(SUMPRODUCT(
_xlfn._xlws.FILTER(_xlfn._xlws.FILTER(Courses!$B$2:$M$46, IF(NOT(ISERROR(SEARCH(LEFT(B3,FIND(" ",B3)-1), Courses!$B$2:$B$46, 1))), TRUE, FALSE)), {0,0,0,0,0,0,0,1,0,0,0,0}),
_xlfn._xlws.FILTER(_xlfn._xlws.FILTER(Courses!$B$2:$M$46, IF(NOT(ISERROR(SEARCH(LEFT(B3,FIND(" ",B3)-1), Courses!$B$2:$B$46, 1))), TRUE, FALSE)), {0,0,0,1,0,0,0,0,0,0,0,0}))
/SUM(_xlfn._xlws.FILTER(_xlfn._xlws.FILTER(Courses!$B$2:$M$46, IF(NOT(ISERROR(SEARCH(LEFT(B3,FIND(" ",B3)-1), Courses!$B$2:$B$46, 1))), TRUE, FALSE)), {0,0,0,1,0,0,0,0,0,0,0,0})), 0.5)</f>
        <v>9</v>
      </c>
      <c r="H3" s="1">
        <f t="shared" ref="H3:H28" si="0">G3*D3/SUM($D$2:$D$28)</f>
        <v>0.25</v>
      </c>
      <c r="I3" s="1" cm="1">
        <f t="array" ref="I3">MROUND(SUMPRODUCT(
_xlfn._xlws.FILTER(_xlfn._xlws.FILTER(Courses!$B$2:$M$46, IF(NOT(ISERROR(SEARCH(LEFT(B3,FIND(" ",B3)-1), Courses!$B$2:$B$46, 1))), TRUE, FALSE)), {0,0,0,0,0,0,0,0,0,1,0,0}),
_xlfn._xlws.FILTER(_xlfn._xlws.FILTER(Courses!$B$2:$M$46, IF(NOT(ISERROR(SEARCH(LEFT(B3,FIND(" ",B3)-1), Courses!$B$2:$B$46, 1))), TRUE, FALSE)), {0,0,0,1,0,0,0,0,0,0,0,0}))
/SUM(_xlfn._xlws.FILTER(_xlfn._xlws.FILTER(Courses!$B$2:$M$46, IF(NOT(ISERROR(SEARCH(LEFT(B3,FIND(" ",B3)-1), Courses!$B$2:$B$46, 1))), TRUE, FALSE)), {0,0,0,1,0,0,0,0,0,0,0,0})), 0.5)</f>
        <v>9</v>
      </c>
      <c r="J3" s="1">
        <f t="shared" ref="J3:J28" si="1">I3*D3/SUM($D$2:$D$28)</f>
        <v>0.25</v>
      </c>
    </row>
    <row r="4" spans="2:14" ht="16.3" x14ac:dyDescent="0.25">
      <c r="B4" s="21" t="s">
        <v>11</v>
      </c>
      <c r="C4" s="19" cm="1">
        <f t="array" ref="C4">MROUND(SUMPRODUCT(_xlfn._xlws.FILTER(_xlfn._xlws.FILTER(Courses!$B$2:$E$46, IF(NOT(ISERROR(SEARCH(LEFT(B4,FIND(" ",B4)-1), Courses!$B$2:$B$46, 1))), TRUE, FALSE)), {0,0,1,0}), _xlfn._xlws.FILTER(_xlfn._xlws.FILTER(Courses!$B$2:$E$46, IF(NOT(ISERROR(SEARCH(LEFT(B4,FIND(" ",B4)-1), Courses!$B$2:$B$46, 1))), TRUE, FALSE)), {0,0,0,1}))/SUM(_xlfn._xlws.FILTER(_xlfn._xlws.FILTER(Courses!$B$2:$E$46, IF(NOT(ISERROR(SEARCH(LEFT(B4,FIND(" ",B4)-1), Courses!$B$2:$B$46, 1))), TRUE, FALSE)), {0,0,0,1})), 0.5)</f>
        <v>1.5</v>
      </c>
      <c r="D4" s="1" cm="1">
        <f t="array" ref="D4">SUM(_xlfn._xlws.FILTER(_xlfn._xlws.FILTER(Courses!$B$2:$E$46, IF(NOT(ISERROR(SEARCH(LEFT(B4,FIND(" ",B4)-1), Courses!$B$2:$B$46, 1))), TRUE, FALSE)), {0,0,0,1}))</f>
        <v>6</v>
      </c>
      <c r="E4" s="34" cm="1">
        <f t="array" ref="E4">_xlfn.XLOOKUP(1, --ISNUMBER(SEARCH(LEFT(B4,FIND(" ",B4)-1), Courses!$B$2:$B$46)), Courses!$M$2:$M$46, "no match")</f>
        <v>1</v>
      </c>
      <c r="F4" s="1" t="b" cm="1">
        <f t="array" ref="F4">AND(AND(_xlfn._xlws.FILTER(_xlfn._xlws.FILTER(Courses!$B$2:$N$46,IF(NOT(ISERROR(SEARCH(LEFT(B4,FIND(" ",B4)-1),Courses!$B$2:$B$46,1))),TRUE,FALSE)),{0,0,0,0,0,0,0,0,0,0,0,0,1})), C4&gt;5.99)</f>
        <v>0</v>
      </c>
      <c r="G4" s="1" cm="1">
        <f t="array" ref="G4">MROUND(SUMPRODUCT(
_xlfn._xlws.FILTER(_xlfn._xlws.FILTER(Courses!$B$2:$M$46, IF(NOT(ISERROR(SEARCH(LEFT(B4,FIND(" ",B4)-1), Courses!$B$2:$B$46, 1))), TRUE, FALSE)), {0,0,0,0,0,0,0,1,0,0,0,0}),
_xlfn._xlws.FILTER(_xlfn._xlws.FILTER(Courses!$B$2:$M$46, IF(NOT(ISERROR(SEARCH(LEFT(B4,FIND(" ",B4)-1), Courses!$B$2:$B$46, 1))), TRUE, FALSE)), {0,0,0,1,0,0,0,0,0,0,0,0}))
/SUM(_xlfn._xlws.FILTER(_xlfn._xlws.FILTER(Courses!$B$2:$M$46, IF(NOT(ISERROR(SEARCH(LEFT(B4,FIND(" ",B4)-1), Courses!$B$2:$B$46, 1))), TRUE, FALSE)), {0,0,0,1,0,0,0,0,0,0,0,0})), 0.5)</f>
        <v>9</v>
      </c>
      <c r="H4" s="1">
        <f t="shared" si="0"/>
        <v>0.3</v>
      </c>
      <c r="I4" s="1" cm="1">
        <f t="array" ref="I4">MROUND(SUMPRODUCT(
_xlfn._xlws.FILTER(_xlfn._xlws.FILTER(Courses!$B$2:$M$46, IF(NOT(ISERROR(SEARCH(LEFT(B4,FIND(" ",B4)-1), Courses!$B$2:$B$46, 1))), TRUE, FALSE)), {0,0,0,0,0,0,0,0,0,1,0,0}),
_xlfn._xlws.FILTER(_xlfn._xlws.FILTER(Courses!$B$2:$M$46, IF(NOT(ISERROR(SEARCH(LEFT(B4,FIND(" ",B4)-1), Courses!$B$2:$B$46, 1))), TRUE, FALSE)), {0,0,0,1,0,0,0,0,0,0,0,0}))
/SUM(_xlfn._xlws.FILTER(_xlfn._xlws.FILTER(Courses!$B$2:$M$46, IF(NOT(ISERROR(SEARCH(LEFT(B4,FIND(" ",B4)-1), Courses!$B$2:$B$46, 1))), TRUE, FALSE)), {0,0,0,1,0,0,0,0,0,0,0,0})), 0.5)</f>
        <v>7</v>
      </c>
      <c r="J4" s="1">
        <f t="shared" si="1"/>
        <v>0.23333333333333334</v>
      </c>
      <c r="L4" s="20"/>
      <c r="N4" s="19"/>
    </row>
    <row r="5" spans="2:14" x14ac:dyDescent="0.25">
      <c r="B5" s="1" t="s">
        <v>18</v>
      </c>
      <c r="C5" s="19" cm="1">
        <f t="array" ref="C5">MROUND(SUMPRODUCT(_xlfn._xlws.FILTER(_xlfn._xlws.FILTER(Courses!$B$2:$E$46, IF(NOT(ISERROR(SEARCH(LEFT(B5,FIND(" ",B5)-1), Courses!$B$2:$B$46, 1))), TRUE, FALSE)), {0,0,1,0}), _xlfn._xlws.FILTER(_xlfn._xlws.FILTER(Courses!$B$2:$E$46, IF(NOT(ISERROR(SEARCH(LEFT(B5,FIND(" ",B5)-1), Courses!$B$2:$B$46, 1))), TRUE, FALSE)), {0,0,0,1}))/SUM(_xlfn._xlws.FILTER(_xlfn._xlws.FILTER(Courses!$B$2:$E$46, IF(NOT(ISERROR(SEARCH(LEFT(B5,FIND(" ",B5)-1), Courses!$B$2:$B$46, 1))), TRUE, FALSE)), {0,0,0,1})), 0.5)</f>
        <v>1.5</v>
      </c>
      <c r="D5" s="1">
        <v>5</v>
      </c>
      <c r="E5" s="34" cm="1">
        <f t="array" ref="E5">_xlfn.XLOOKUP(1, --ISNUMBER(SEARCH(LEFT(B5,FIND(" ",B5)-1), Courses!$B$2:$B$46)), Courses!$M$2:$M$46, "no match")</f>
        <v>1</v>
      </c>
      <c r="F5" s="1" t="b" cm="1">
        <f t="array" ref="F5">AND(AND(_xlfn._xlws.FILTER(_xlfn._xlws.FILTER(Courses!$B$2:$N$46,IF(NOT(ISERROR(SEARCH(LEFT(B5,FIND(" ",B5)-1),Courses!$B$2:$B$46,1))),TRUE,FALSE)),{0,0,0,0,0,0,0,0,0,0,0,0,1})), C5&gt;5.99)</f>
        <v>0</v>
      </c>
      <c r="G5" s="1" cm="1">
        <f t="array" ref="G5">MROUND(SUMPRODUCT(
_xlfn._xlws.FILTER(_xlfn._xlws.FILTER(Courses!$B$2:$M$46, IF(NOT(ISERROR(SEARCH(LEFT(B5,FIND(" ",B5)-1), Courses!$B$2:$B$46, 1))), TRUE, FALSE)), {0,0,0,0,0,0,0,1,0,0,0,0}),
_xlfn._xlws.FILTER(_xlfn._xlws.FILTER(Courses!$B$2:$M$46, IF(NOT(ISERROR(SEARCH(LEFT(B5,FIND(" ",B5)-1), Courses!$B$2:$B$46, 1))), TRUE, FALSE)), {0,0,0,1,0,0,0,0,0,0,0,0}))
/SUM(_xlfn._xlws.FILTER(_xlfn._xlws.FILTER(Courses!$B$2:$M$46, IF(NOT(ISERROR(SEARCH(LEFT(B5,FIND(" ",B5)-1), Courses!$B$2:$B$46, 1))), TRUE, FALSE)), {0,0,0,1,0,0,0,0,0,0,0,0})), 0.5)</f>
        <v>9</v>
      </c>
      <c r="H5" s="1">
        <f t="shared" si="0"/>
        <v>0.25</v>
      </c>
      <c r="I5" s="1" cm="1">
        <f t="array" ref="I5">MROUND(SUMPRODUCT(
_xlfn._xlws.FILTER(_xlfn._xlws.FILTER(Courses!$B$2:$M$46, IF(NOT(ISERROR(SEARCH(LEFT(B5,FIND(" ",B5)-1), Courses!$B$2:$B$46, 1))), TRUE, FALSE)), {0,0,0,0,0,0,0,0,0,1,0,0}),
_xlfn._xlws.FILTER(_xlfn._xlws.FILTER(Courses!$B$2:$M$46, IF(NOT(ISERROR(SEARCH(LEFT(B5,FIND(" ",B5)-1), Courses!$B$2:$B$46, 1))), TRUE, FALSE)), {0,0,0,1,0,0,0,0,0,0,0,0}))
/SUM(_xlfn._xlws.FILTER(_xlfn._xlws.FILTER(Courses!$B$2:$M$46, IF(NOT(ISERROR(SEARCH(LEFT(B5,FIND(" ",B5)-1), Courses!$B$2:$B$46, 1))), TRUE, FALSE)), {0,0,0,1,0,0,0,0,0,0,0,0})), 0.5)</f>
        <v>7</v>
      </c>
      <c r="J5" s="1">
        <f t="shared" si="1"/>
        <v>0.19444444444444445</v>
      </c>
    </row>
    <row r="6" spans="2:14" x14ac:dyDescent="0.25">
      <c r="B6" s="21" t="s">
        <v>3</v>
      </c>
      <c r="C6" s="19" cm="1">
        <f t="array" ref="C6">MROUND(SUMPRODUCT(_xlfn._xlws.FILTER(_xlfn._xlws.FILTER(Courses!$B$2:$E$46, IF(NOT(ISERROR(SEARCH(LEFT(B6,FIND(" ",B6)-1), Courses!$B$2:$B$46, 1))), TRUE, FALSE)), {0,0,1,0}), _xlfn._xlws.FILTER(_xlfn._xlws.FILTER(Courses!$B$2:$E$46, IF(NOT(ISERROR(SEARCH(LEFT(B6,FIND(" ",B6)-1), Courses!$B$2:$B$46, 1))), TRUE, FALSE)), {0,0,0,1}))/SUM(_xlfn._xlws.FILTER(_xlfn._xlws.FILTER(Courses!$B$2:$E$46, IF(NOT(ISERROR(SEARCH(LEFT(B6,FIND(" ",B6)-1), Courses!$B$2:$B$46, 1))), TRUE, FALSE)), {0,0,0,1})), 0.5)</f>
        <v>0</v>
      </c>
      <c r="D6" s="1" cm="1">
        <f t="array" ref="D6">SUM(_xlfn._xlws.FILTER(_xlfn._xlws.FILTER(Courses!$B$2:$E$46, IF(NOT(ISERROR(SEARCH(LEFT(B6,FIND(" ",B6)-1), Courses!$B$2:$B$46, 1))), TRUE, FALSE)), {0,0,0,1}))</f>
        <v>9</v>
      </c>
      <c r="E6" s="34" cm="1">
        <f t="array" ref="E6">_xlfn.XLOOKUP(1, --ISNUMBER(SEARCH(LEFT(B6,FIND(" ",B6)-1), Courses!$B$2:$B$46)), Courses!$M$2:$M$46, "no match")</f>
        <v>1</v>
      </c>
      <c r="F6" s="1" t="b" cm="1">
        <f t="array" ref="F6">AND(AND(_xlfn._xlws.FILTER(_xlfn._xlws.FILTER(Courses!$B$2:$N$46,IF(NOT(ISERROR(SEARCH(LEFT(B6,FIND(" ",B6)-1),Courses!$B$2:$B$46,1))),TRUE,FALSE)),{0,0,0,0,0,0,0,0,0,0,0,0,1})), C6&gt;5.99)</f>
        <v>0</v>
      </c>
      <c r="G6" s="1" cm="1">
        <f t="array" ref="G6">MROUND(SUMPRODUCT(
_xlfn._xlws.FILTER(_xlfn._xlws.FILTER(Courses!$B$2:$M$46, IF(NOT(ISERROR(SEARCH(LEFT(B6,FIND(" ",B6)-1), Courses!$B$2:$B$46, 1))), TRUE, FALSE)), {0,0,0,0,0,0,0,1,0,0,0,0}),
_xlfn._xlws.FILTER(_xlfn._xlws.FILTER(Courses!$B$2:$M$46, IF(NOT(ISERROR(SEARCH(LEFT(B6,FIND(" ",B6)-1), Courses!$B$2:$B$46, 1))), TRUE, FALSE)), {0,0,0,1,0,0,0,0,0,0,0,0}))
/SUM(_xlfn._xlws.FILTER(_xlfn._xlws.FILTER(Courses!$B$2:$M$46, IF(NOT(ISERROR(SEARCH(LEFT(B6,FIND(" ",B6)-1), Courses!$B$2:$B$46, 1))), TRUE, FALSE)), {0,0,0,1,0,0,0,0,0,0,0,0})), 0.5)</f>
        <v>9</v>
      </c>
      <c r="H6" s="1">
        <f t="shared" si="0"/>
        <v>0.45</v>
      </c>
      <c r="I6" s="1" cm="1">
        <f t="array" ref="I6">MROUND(SUMPRODUCT(
_xlfn._xlws.FILTER(_xlfn._xlws.FILTER(Courses!$B$2:$M$46, IF(NOT(ISERROR(SEARCH(LEFT(B6,FIND(" ",B6)-1), Courses!$B$2:$B$46, 1))), TRUE, FALSE)), {0,0,0,0,0,0,0,0,0,1,0,0}),
_xlfn._xlws.FILTER(_xlfn._xlws.FILTER(Courses!$B$2:$M$46, IF(NOT(ISERROR(SEARCH(LEFT(B6,FIND(" ",B6)-1), Courses!$B$2:$B$46, 1))), TRUE, FALSE)), {0,0,0,1,0,0,0,0,0,0,0,0}))
/SUM(_xlfn._xlws.FILTER(_xlfn._xlws.FILTER(Courses!$B$2:$M$46, IF(NOT(ISERROR(SEARCH(LEFT(B6,FIND(" ",B6)-1), Courses!$B$2:$B$46, 1))), TRUE, FALSE)), {0,0,0,1,0,0,0,0,0,0,0,0})), 0.5)</f>
        <v>7</v>
      </c>
      <c r="J6" s="1">
        <f t="shared" si="1"/>
        <v>0.35</v>
      </c>
    </row>
    <row r="7" spans="2:14" x14ac:dyDescent="0.25">
      <c r="B7" s="1" t="s">
        <v>23</v>
      </c>
      <c r="C7" s="19" cm="1">
        <f t="array" ref="C7">MROUND(SUMPRODUCT(_xlfn._xlws.FILTER(_xlfn._xlws.FILTER(Courses!$B$2:$E$46, IF(NOT(ISERROR(SEARCH(LEFT(B7,FIND(" ",B7)-1), Courses!$B$2:$B$46, 1))), TRUE, FALSE)), {0,0,1,0}), _xlfn._xlws.FILTER(_xlfn._xlws.FILTER(Courses!$B$2:$E$46, IF(NOT(ISERROR(SEARCH(LEFT(B7,FIND(" ",B7)-1), Courses!$B$2:$B$46, 1))), TRUE, FALSE)), {0,0,0,1}))/SUM(_xlfn._xlws.FILTER(_xlfn._xlws.FILTER(Courses!$B$2:$E$46, IF(NOT(ISERROR(SEARCH(LEFT(B7,FIND(" ",B7)-1), Courses!$B$2:$B$46, 1))), TRUE, FALSE)), {0,0,0,1})), 0.5)</f>
        <v>0</v>
      </c>
      <c r="D7" s="1" cm="1">
        <f t="array" ref="D7">SUM(_xlfn._xlws.FILTER(_xlfn._xlws.FILTER(Courses!$B$2:$E$46, IF(NOT(ISERROR(SEARCH(LEFT(B7,FIND(" ",B7)-1), Courses!$B$2:$B$46, 1))), TRUE, FALSE)), {0,0,0,1}))</f>
        <v>2</v>
      </c>
      <c r="E7" s="34" cm="1">
        <f t="array" ref="E7">_xlfn.XLOOKUP(1, --ISNUMBER(SEARCH(LEFT(B7,FIND(" ",B7)-1), Courses!$B$2:$B$46)), Courses!$M$2:$M$46, "no match")</f>
        <v>1</v>
      </c>
      <c r="F7" s="1" t="b" cm="1">
        <f t="array" ref="F7">AND(AND(_xlfn._xlws.FILTER(_xlfn._xlws.FILTER(Courses!$B$2:$N$46,IF(NOT(ISERROR(SEARCH(LEFT(B7,FIND(" ",B7)-1),Courses!$B$2:$B$46,1))),TRUE,FALSE)),{0,0,0,0,0,0,0,0,0,0,0,0,1})), C7&gt;5.99)</f>
        <v>0</v>
      </c>
      <c r="G7" s="1" cm="1">
        <f t="array" ref="G7">MROUND(SUMPRODUCT(
_xlfn._xlws.FILTER(_xlfn._xlws.FILTER(Courses!$B$2:$M$46, IF(NOT(ISERROR(SEARCH(LEFT(B7,FIND(" ",B7)-1), Courses!$B$2:$B$46, 1))), TRUE, FALSE)), {0,0,0,0,0,0,0,1,0,0,0,0}),
_xlfn._xlws.FILTER(_xlfn._xlws.FILTER(Courses!$B$2:$M$46, IF(NOT(ISERROR(SEARCH(LEFT(B7,FIND(" ",B7)-1), Courses!$B$2:$B$46, 1))), TRUE, FALSE)), {0,0,0,1,0,0,0,0,0,0,0,0}))
/SUM(_xlfn._xlws.FILTER(_xlfn._xlws.FILTER(Courses!$B$2:$M$46, IF(NOT(ISERROR(SEARCH(LEFT(B7,FIND(" ",B7)-1), Courses!$B$2:$B$46, 1))), TRUE, FALSE)), {0,0,0,1,0,0,0,0,0,0,0,0})), 0.5)</f>
        <v>9</v>
      </c>
      <c r="H7" s="1">
        <f t="shared" si="0"/>
        <v>0.1</v>
      </c>
      <c r="I7" s="1" cm="1">
        <f t="array" ref="I7">MROUND(SUMPRODUCT(
_xlfn._xlws.FILTER(_xlfn._xlws.FILTER(Courses!$B$2:$M$46, IF(NOT(ISERROR(SEARCH(LEFT(B7,FIND(" ",B7)-1), Courses!$B$2:$B$46, 1))), TRUE, FALSE)), {0,0,0,0,0,0,0,0,0,1,0,0}),
_xlfn._xlws.FILTER(_xlfn._xlws.FILTER(Courses!$B$2:$M$46, IF(NOT(ISERROR(SEARCH(LEFT(B7,FIND(" ",B7)-1), Courses!$B$2:$B$46, 1))), TRUE, FALSE)), {0,0,0,1,0,0,0,0,0,0,0,0}))
/SUM(_xlfn._xlws.FILTER(_xlfn._xlws.FILTER(Courses!$B$2:$M$46, IF(NOT(ISERROR(SEARCH(LEFT(B7,FIND(" ",B7)-1), Courses!$B$2:$B$46, 1))), TRUE, FALSE)), {0,0,0,1,0,0,0,0,0,0,0,0})), 0.5)</f>
        <v>7</v>
      </c>
      <c r="J7" s="1">
        <f t="shared" si="1"/>
        <v>7.7777777777777779E-2</v>
      </c>
    </row>
    <row r="8" spans="2:14" x14ac:dyDescent="0.25">
      <c r="B8" s="21" t="s">
        <v>9</v>
      </c>
      <c r="C8" s="19" cm="1">
        <f t="array" ref="C8">MROUND(SUMPRODUCT(_xlfn._xlws.FILTER(_xlfn._xlws.FILTER(Courses!$B$2:$E$46, IF(NOT(ISERROR(SEARCH(LEFT(B8,FIND(" ",B8)-1), Courses!$B$2:$B$46, 1))), TRUE, FALSE)), {0,0,1,0}), _xlfn._xlws.FILTER(_xlfn._xlws.FILTER(Courses!$B$2:$E$46, IF(NOT(ISERROR(SEARCH(LEFT(B8,FIND(" ",B8)-1), Courses!$B$2:$B$46, 1))), TRUE, FALSE)), {0,0,0,1}))/SUM(_xlfn._xlws.FILTER(_xlfn._xlws.FILTER(Courses!$B$2:$E$46, IF(NOT(ISERROR(SEARCH(LEFT(B8,FIND(" ",B8)-1), Courses!$B$2:$B$46, 1))), TRUE, FALSE)), {0,0,0,1})), 0.5)</f>
        <v>0</v>
      </c>
      <c r="D8" s="1" cm="1">
        <f t="array" ref="D8">SUM(_xlfn._xlws.FILTER(_xlfn._xlws.FILTER(Courses!$B$2:$E$46, IF(NOT(ISERROR(SEARCH(LEFT(B8,FIND(" ",B8)-1), Courses!$B$2:$B$46, 1))), TRUE, FALSE)), {0,0,0,1}))</f>
        <v>7</v>
      </c>
      <c r="E8" s="34" cm="1">
        <f t="array" ref="E8">_xlfn.XLOOKUP(1, --ISNUMBER(SEARCH(LEFT(B8,FIND(" ",B8)-1), Courses!$B$2:$B$46)), Courses!$M$2:$M$46, "no match")</f>
        <v>1</v>
      </c>
      <c r="F8" s="1" t="b" cm="1">
        <f t="array" ref="F8">AND(AND(_xlfn._xlws.FILTER(_xlfn._xlws.FILTER(Courses!$B$2:$N$46,IF(NOT(ISERROR(SEARCH(LEFT(B8,FIND(" ",B8)-1),Courses!$B$2:$B$46,1))),TRUE,FALSE)),{0,0,0,0,0,0,0,0,0,0,0,0,1})), C8&gt;5.99)</f>
        <v>0</v>
      </c>
      <c r="G8" s="1" cm="1">
        <f t="array" ref="G8">MROUND(SUMPRODUCT(
_xlfn._xlws.FILTER(_xlfn._xlws.FILTER(Courses!$B$2:$M$46, IF(NOT(ISERROR(SEARCH(LEFT(B8,FIND(" ",B8)-1), Courses!$B$2:$B$46, 1))), TRUE, FALSE)), {0,0,0,0,0,0,0,1,0,0,0,0}),
_xlfn._xlws.FILTER(_xlfn._xlws.FILTER(Courses!$B$2:$M$46, IF(NOT(ISERROR(SEARCH(LEFT(B8,FIND(" ",B8)-1), Courses!$B$2:$B$46, 1))), TRUE, FALSE)), {0,0,0,1,0,0,0,0,0,0,0,0}))
/SUM(_xlfn._xlws.FILTER(_xlfn._xlws.FILTER(Courses!$B$2:$M$46, IF(NOT(ISERROR(SEARCH(LEFT(B8,FIND(" ",B8)-1), Courses!$B$2:$B$46, 1))), TRUE, FALSE)), {0,0,0,1,0,0,0,0,0,0,0,0})), 0.5)</f>
        <v>9</v>
      </c>
      <c r="H8" s="1">
        <f t="shared" si="0"/>
        <v>0.35</v>
      </c>
      <c r="I8" s="1" cm="1">
        <f t="array" ref="I8">MROUND(SUMPRODUCT(
_xlfn._xlws.FILTER(_xlfn._xlws.FILTER(Courses!$B$2:$M$46, IF(NOT(ISERROR(SEARCH(LEFT(B8,FIND(" ",B8)-1), Courses!$B$2:$B$46, 1))), TRUE, FALSE)), {0,0,0,0,0,0,0,0,0,1,0,0}),
_xlfn._xlws.FILTER(_xlfn._xlws.FILTER(Courses!$B$2:$M$46, IF(NOT(ISERROR(SEARCH(LEFT(B8,FIND(" ",B8)-1), Courses!$B$2:$B$46, 1))), TRUE, FALSE)), {0,0,0,1,0,0,0,0,0,0,0,0}))
/SUM(_xlfn._xlws.FILTER(_xlfn._xlws.FILTER(Courses!$B$2:$M$46, IF(NOT(ISERROR(SEARCH(LEFT(B8,FIND(" ",B8)-1), Courses!$B$2:$B$46, 1))), TRUE, FALSE)), {0,0,0,1,0,0,0,0,0,0,0,0})), 0.5)</f>
        <v>7</v>
      </c>
      <c r="J8" s="1">
        <f t="shared" si="1"/>
        <v>0.2722222222222222</v>
      </c>
    </row>
    <row r="9" spans="2:14" x14ac:dyDescent="0.25">
      <c r="B9" s="21" t="s">
        <v>17</v>
      </c>
      <c r="C9" s="19" cm="1">
        <f t="array" ref="C9">MROUND(SUMPRODUCT(_xlfn._xlws.FILTER(_xlfn._xlws.FILTER(Courses!$B$2:$E$46, IF(NOT(ISERROR(SEARCH(LEFT(B9,FIND(" ",B9)-1), Courses!$B$2:$B$46, 1))), TRUE, FALSE)), {0,0,1,0}), _xlfn._xlws.FILTER(_xlfn._xlws.FILTER(Courses!$B$2:$E$46, IF(NOT(ISERROR(SEARCH(LEFT(B9,FIND(" ",B9)-1), Courses!$B$2:$B$46, 1))), TRUE, FALSE)), {0,0,0,1}))/SUM(_xlfn._xlws.FILTER(_xlfn._xlws.FILTER(Courses!$B$2:$E$46, IF(NOT(ISERROR(SEARCH(LEFT(B9,FIND(" ",B9)-1), Courses!$B$2:$B$46, 1))), TRUE, FALSE)), {0,0,0,1})), 0.5)</f>
        <v>0</v>
      </c>
      <c r="D9" s="1" cm="1">
        <f t="array" ref="D9">SUM(_xlfn._xlws.FILTER(_xlfn._xlws.FILTER(Courses!$B$2:$E$46, IF(NOT(ISERROR(SEARCH(LEFT(B9,FIND(" ",B9)-1), Courses!$B$2:$B$46, 1))), TRUE, FALSE)), {0,0,0,1}))</f>
        <v>5</v>
      </c>
      <c r="E9" s="34" cm="1">
        <f t="array" ref="E9">_xlfn.XLOOKUP(1, --ISNUMBER(SEARCH(LEFT(B9,FIND(" ",B9)-1), Courses!$B$2:$B$46)), Courses!$M$2:$M$46, "no match")</f>
        <v>1</v>
      </c>
      <c r="F9" s="1" t="b" cm="1">
        <f t="array" ref="F9">AND(AND(_xlfn._xlws.FILTER(_xlfn._xlws.FILTER(Courses!$B$2:$N$46,IF(NOT(ISERROR(SEARCH(LEFT(B9,FIND(" ",B9)-1),Courses!$B$2:$B$46,1))),TRUE,FALSE)),{0,0,0,0,0,0,0,0,0,0,0,0,1})), C9&gt;5.99)</f>
        <v>0</v>
      </c>
      <c r="G9" s="1" cm="1">
        <f t="array" ref="G9">MROUND(SUMPRODUCT(
_xlfn._xlws.FILTER(_xlfn._xlws.FILTER(Courses!$B$2:$M$46, IF(NOT(ISERROR(SEARCH(LEFT(B9,FIND(" ",B9)-1), Courses!$B$2:$B$46, 1))), TRUE, FALSE)), {0,0,0,0,0,0,0,1,0,0,0,0}),
_xlfn._xlws.FILTER(_xlfn._xlws.FILTER(Courses!$B$2:$M$46, IF(NOT(ISERROR(SEARCH(LEFT(B9,FIND(" ",B9)-1), Courses!$B$2:$B$46, 1))), TRUE, FALSE)), {0,0,0,1,0,0,0,0,0,0,0,0}))
/SUM(_xlfn._xlws.FILTER(_xlfn._xlws.FILTER(Courses!$B$2:$M$46, IF(NOT(ISERROR(SEARCH(LEFT(B9,FIND(" ",B9)-1), Courses!$B$2:$B$46, 1))), TRUE, FALSE)), {0,0,0,1,0,0,0,0,0,0,0,0})), 0.5)</f>
        <v>9</v>
      </c>
      <c r="H9" s="1">
        <f t="shared" si="0"/>
        <v>0.25</v>
      </c>
      <c r="I9" s="1" cm="1">
        <f t="array" ref="I9">MROUND(SUMPRODUCT(
_xlfn._xlws.FILTER(_xlfn._xlws.FILTER(Courses!$B$2:$M$46, IF(NOT(ISERROR(SEARCH(LEFT(B9,FIND(" ",B9)-1), Courses!$B$2:$B$46, 1))), TRUE, FALSE)), {0,0,0,0,0,0,0,0,0,1,0,0}),
_xlfn._xlws.FILTER(_xlfn._xlws.FILTER(Courses!$B$2:$M$46, IF(NOT(ISERROR(SEARCH(LEFT(B9,FIND(" ",B9)-1), Courses!$B$2:$B$46, 1))), TRUE, FALSE)), {0,0,0,1,0,0,0,0,0,0,0,0}))
/SUM(_xlfn._xlws.FILTER(_xlfn._xlws.FILTER(Courses!$B$2:$M$46, IF(NOT(ISERROR(SEARCH(LEFT(B9,FIND(" ",B9)-1), Courses!$B$2:$B$46, 1))), TRUE, FALSE)), {0,0,0,1,0,0,0,0,0,0,0,0})), 0.5)</f>
        <v>7</v>
      </c>
      <c r="J9" s="1">
        <f t="shared" si="1"/>
        <v>0.19444444444444445</v>
      </c>
    </row>
    <row r="10" spans="2:14" x14ac:dyDescent="0.25">
      <c r="B10" s="21" t="s">
        <v>2</v>
      </c>
      <c r="C10" s="19" cm="1">
        <f t="array" ref="C10">MROUND(SUMPRODUCT(_xlfn._xlws.FILTER(_xlfn._xlws.FILTER(Courses!$B$2:$E$46, IF(NOT(ISERROR(SEARCH(LEFT(B10,FIND(" ",B10)-1), Courses!$B$2:$B$46, 1))), TRUE, FALSE)), {0,0,1,0}), _xlfn._xlws.FILTER(_xlfn._xlws.FILTER(Courses!$B$2:$E$46, IF(NOT(ISERROR(SEARCH(LEFT(B10,FIND(" ",B10)-1), Courses!$B$2:$B$46, 1))), TRUE, FALSE)), {0,0,0,1}))/SUM(_xlfn._xlws.FILTER(_xlfn._xlws.FILTER(Courses!$B$2:$E$46, IF(NOT(ISERROR(SEARCH(LEFT(B10,FIND(" ",B10)-1), Courses!$B$2:$B$46, 1))), TRUE, FALSE)), {0,0,0,1})), 0.5)</f>
        <v>0</v>
      </c>
      <c r="D10" s="1" cm="1">
        <f t="array" ref="D10">SUM(_xlfn._xlws.FILTER(_xlfn._xlws.FILTER(Courses!$B$2:$E$46, IF(NOT(ISERROR(SEARCH(LEFT(B10,FIND(" ",B10)-1), Courses!$B$2:$B$46, 1))), TRUE, FALSE)), {0,0,0,1}))</f>
        <v>9</v>
      </c>
      <c r="E10" s="34" cm="1">
        <f t="array" ref="E10">_xlfn.XLOOKUP(1, --ISNUMBER(SEARCH(LEFT(B10,FIND(" ",B10)-1), Courses!$B$2:$B$46)), Courses!$M$2:$M$46, "no match")</f>
        <v>1</v>
      </c>
      <c r="F10" s="1" t="b" cm="1">
        <f t="array" ref="F10">AND(AND(_xlfn._xlws.FILTER(_xlfn._xlws.FILTER(Courses!$B$2:$N$46,IF(NOT(ISERROR(SEARCH(LEFT(B10,FIND(" ",B10)-1),Courses!$B$2:$B$46,1))),TRUE,FALSE)),{0,0,0,0,0,0,0,0,0,0,0,0,1})), C10&gt;5.99)</f>
        <v>0</v>
      </c>
      <c r="G10" s="1" cm="1">
        <f t="array" ref="G10">MROUND(SUMPRODUCT(
_xlfn._xlws.FILTER(_xlfn._xlws.FILTER(Courses!$B$2:$M$46, IF(NOT(ISERROR(SEARCH(LEFT(B10,FIND(" ",B10)-1), Courses!$B$2:$B$46, 1))), TRUE, FALSE)), {0,0,0,0,0,0,0,1,0,0,0,0}),
_xlfn._xlws.FILTER(_xlfn._xlws.FILTER(Courses!$B$2:$M$46, IF(NOT(ISERROR(SEARCH(LEFT(B10,FIND(" ",B10)-1), Courses!$B$2:$B$46, 1))), TRUE, FALSE)), {0,0,0,1,0,0,0,0,0,0,0,0}))
/SUM(_xlfn._xlws.FILTER(_xlfn._xlws.FILTER(Courses!$B$2:$M$46, IF(NOT(ISERROR(SEARCH(LEFT(B10,FIND(" ",B10)-1), Courses!$B$2:$B$46, 1))), TRUE, FALSE)), {0,0,0,1,0,0,0,0,0,0,0,0})), 0.5)</f>
        <v>9</v>
      </c>
      <c r="H10" s="1">
        <f t="shared" si="0"/>
        <v>0.45</v>
      </c>
      <c r="I10" s="1" cm="1">
        <f t="array" ref="I10">MROUND(SUMPRODUCT(
_xlfn._xlws.FILTER(_xlfn._xlws.FILTER(Courses!$B$2:$M$46, IF(NOT(ISERROR(SEARCH(LEFT(B10,FIND(" ",B10)-1), Courses!$B$2:$B$46, 1))), TRUE, FALSE)), {0,0,0,0,0,0,0,0,0,1,0,0}),
_xlfn._xlws.FILTER(_xlfn._xlws.FILTER(Courses!$B$2:$M$46, IF(NOT(ISERROR(SEARCH(LEFT(B10,FIND(" ",B10)-1), Courses!$B$2:$B$46, 1))), TRUE, FALSE)), {0,0,0,1,0,0,0,0,0,0,0,0}))
/SUM(_xlfn._xlws.FILTER(_xlfn._xlws.FILTER(Courses!$B$2:$M$46, IF(NOT(ISERROR(SEARCH(LEFT(B10,FIND(" ",B10)-1), Courses!$B$2:$B$46, 1))), TRUE, FALSE)), {0,0,0,1,0,0,0,0,0,0,0,0})), 0.5)</f>
        <v>7</v>
      </c>
      <c r="J10" s="1">
        <f t="shared" si="1"/>
        <v>0.35</v>
      </c>
    </row>
    <row r="11" spans="2:14" x14ac:dyDescent="0.25">
      <c r="B11" s="21" t="s">
        <v>13</v>
      </c>
      <c r="C11" s="19" cm="1">
        <f t="array" ref="C11">MROUND(SUMPRODUCT(_xlfn._xlws.FILTER(_xlfn._xlws.FILTER(Courses!$B$2:$E$46, IF(NOT(ISERROR(SEARCH(LEFT(B11,FIND(" ",B11)-1), Courses!$B$2:$B$46, 1))), TRUE, FALSE)), {0,0,1,0}), _xlfn._xlws.FILTER(_xlfn._xlws.FILTER(Courses!$B$2:$E$46, IF(NOT(ISERROR(SEARCH(LEFT(B11,FIND(" ",B11)-1), Courses!$B$2:$B$46, 1))), TRUE, FALSE)), {0,0,0,1}))/SUM(_xlfn._xlws.FILTER(_xlfn._xlws.FILTER(Courses!$B$2:$E$46, IF(NOT(ISERROR(SEARCH(LEFT(B11,FIND(" ",B11)-1), Courses!$B$2:$B$46, 1))), TRUE, FALSE)), {0,0,0,1})), 0.5)</f>
        <v>1.5</v>
      </c>
      <c r="D11" s="1" cm="1">
        <f t="array" ref="D11">SUM(_xlfn._xlws.FILTER(_xlfn._xlws.FILTER(Courses!$B$2:$E$46, IF(NOT(ISERROR(SEARCH(LEFT(B11,FIND(" ",B11)-1), Courses!$B$2:$B$46, 1))), TRUE, FALSE)), {0,0,0,1}))</f>
        <v>6</v>
      </c>
      <c r="E11" s="34" cm="1">
        <f t="array" ref="E11">_xlfn.XLOOKUP(1, --ISNUMBER(SEARCH(LEFT(B11,FIND(" ",B11)-1), Courses!$B$2:$B$46)), Courses!$M$2:$M$46, "no match")</f>
        <v>1</v>
      </c>
      <c r="F11" s="1" t="b" cm="1">
        <f t="array" ref="F11">AND(AND(_xlfn._xlws.FILTER(_xlfn._xlws.FILTER(Courses!$B$2:$N$46,IF(NOT(ISERROR(SEARCH(LEFT(B11,FIND(" ",B11)-1),Courses!$B$2:$B$46,1))),TRUE,FALSE)),{0,0,0,0,0,0,0,0,0,0,0,0,1})), C11&gt;5.99)</f>
        <v>0</v>
      </c>
      <c r="G11" s="1" cm="1">
        <f t="array" ref="G11">MROUND(SUMPRODUCT(
_xlfn._xlws.FILTER(_xlfn._xlws.FILTER(Courses!$B$2:$M$46, IF(NOT(ISERROR(SEARCH(LEFT(B11,FIND(" ",B11)-1), Courses!$B$2:$B$46, 1))), TRUE, FALSE)), {0,0,0,0,0,0,0,1,0,0,0,0}),
_xlfn._xlws.FILTER(_xlfn._xlws.FILTER(Courses!$B$2:$M$46, IF(NOT(ISERROR(SEARCH(LEFT(B11,FIND(" ",B11)-1), Courses!$B$2:$B$46, 1))), TRUE, FALSE)), {0,0,0,1,0,0,0,0,0,0,0,0}))
/SUM(_xlfn._xlws.FILTER(_xlfn._xlws.FILTER(Courses!$B$2:$M$46, IF(NOT(ISERROR(SEARCH(LEFT(B11,FIND(" ",B11)-1), Courses!$B$2:$B$46, 1))), TRUE, FALSE)), {0,0,0,1,0,0,0,0,0,0,0,0})), 0.5)</f>
        <v>6</v>
      </c>
      <c r="H11" s="1">
        <f t="shared" si="0"/>
        <v>0.2</v>
      </c>
      <c r="I11" s="1" cm="1">
        <f t="array" ref="I11">MROUND(SUMPRODUCT(
_xlfn._xlws.FILTER(_xlfn._xlws.FILTER(Courses!$B$2:$M$46, IF(NOT(ISERROR(SEARCH(LEFT(B11,FIND(" ",B11)-1), Courses!$B$2:$B$46, 1))), TRUE, FALSE)), {0,0,0,0,0,0,0,0,0,1,0,0}),
_xlfn._xlws.FILTER(_xlfn._xlws.FILTER(Courses!$B$2:$M$46, IF(NOT(ISERROR(SEARCH(LEFT(B11,FIND(" ",B11)-1), Courses!$B$2:$B$46, 1))), TRUE, FALSE)), {0,0,0,1,0,0,0,0,0,0,0,0}))
/SUM(_xlfn._xlws.FILTER(_xlfn._xlws.FILTER(Courses!$B$2:$M$46, IF(NOT(ISERROR(SEARCH(LEFT(B11,FIND(" ",B11)-1), Courses!$B$2:$B$46, 1))), TRUE, FALSE)), {0,0,0,1,0,0,0,0,0,0,0,0})), 0.5)</f>
        <v>5</v>
      </c>
      <c r="J11" s="1">
        <f t="shared" si="1"/>
        <v>0.16666666666666666</v>
      </c>
    </row>
    <row r="12" spans="2:14" x14ac:dyDescent="0.25">
      <c r="B12" s="21" t="s">
        <v>5</v>
      </c>
      <c r="C12" s="19" cm="1">
        <f t="array" ref="C12">MROUND(SUMPRODUCT(_xlfn._xlws.FILTER(_xlfn._xlws.FILTER(Courses!$B$2:$E$46, IF(NOT(ISERROR(SEARCH(LEFT(B12,FIND(" ",B12)-1), Courses!$B$2:$B$46, 1))), TRUE, FALSE)), {0,0,1,0}), _xlfn._xlws.FILTER(_xlfn._xlws.FILTER(Courses!$B$2:$E$46, IF(NOT(ISERROR(SEARCH(LEFT(B12,FIND(" ",B12)-1), Courses!$B$2:$B$46, 1))), TRUE, FALSE)), {0,0,0,1}))/SUM(_xlfn._xlws.FILTER(_xlfn._xlws.FILTER(Courses!$B$2:$E$46, IF(NOT(ISERROR(SEARCH(LEFT(B12,FIND(" ",B12)-1), Courses!$B$2:$B$46, 1))), TRUE, FALSE)), {0,0,0,1})), 0.5)</f>
        <v>0</v>
      </c>
      <c r="D12" s="1" cm="1">
        <f t="array" ref="D12">SUM(_xlfn._xlws.FILTER(_xlfn._xlws.FILTER(Courses!$B$2:$E$46, IF(NOT(ISERROR(SEARCH(LEFT(B12,FIND(" ",B12)-1), Courses!$B$2:$B$46, 1))), TRUE, FALSE)), {0,0,0,1}))</f>
        <v>8</v>
      </c>
      <c r="E12" s="34" cm="1">
        <f t="array" ref="E12">_xlfn.XLOOKUP(1, --ISNUMBER(SEARCH(LEFT(B12,FIND(" ",B12)-1), Courses!$B$2:$B$46)), Courses!$M$2:$M$46, "no match")</f>
        <v>2</v>
      </c>
      <c r="F12" s="1" t="b" cm="1">
        <f t="array" ref="F12">AND(AND(_xlfn._xlws.FILTER(_xlfn._xlws.FILTER(Courses!$B$2:$N$46,IF(NOT(ISERROR(SEARCH(LEFT(B12,FIND(" ",B12)-1),Courses!$B$2:$B$46,1))),TRUE,FALSE)),{0,0,0,0,0,0,0,0,0,0,0,0,1})), C12&gt;5.99)</f>
        <v>0</v>
      </c>
      <c r="G12" s="1" cm="1">
        <f t="array" ref="G12">MROUND(SUMPRODUCT(
_xlfn._xlws.FILTER(_xlfn._xlws.FILTER(Courses!$B$2:$M$46, IF(NOT(ISERROR(SEARCH(LEFT(B12,FIND(" ",B12)-1), Courses!$B$2:$B$46, 1))), TRUE, FALSE)), {0,0,0,0,0,0,0,1,0,0,0,0}),
_xlfn._xlws.FILTER(_xlfn._xlws.FILTER(Courses!$B$2:$M$46, IF(NOT(ISERROR(SEARCH(LEFT(B12,FIND(" ",B12)-1), Courses!$B$2:$B$46, 1))), TRUE, FALSE)), {0,0,0,1,0,0,0,0,0,0,0,0}))
/SUM(_xlfn._xlws.FILTER(_xlfn._xlws.FILTER(Courses!$B$2:$M$46, IF(NOT(ISERROR(SEARCH(LEFT(B12,FIND(" ",B12)-1), Courses!$B$2:$B$46, 1))), TRUE, FALSE)), {0,0,0,1,0,0,0,0,0,0,0,0})), 0.5)</f>
        <v>9</v>
      </c>
      <c r="H12" s="1">
        <f t="shared" si="0"/>
        <v>0.4</v>
      </c>
      <c r="I12" s="1" cm="1">
        <f t="array" ref="I12">MROUND(SUMPRODUCT(
_xlfn._xlws.FILTER(_xlfn._xlws.FILTER(Courses!$B$2:$M$46, IF(NOT(ISERROR(SEARCH(LEFT(B12,FIND(" ",B12)-1), Courses!$B$2:$B$46, 1))), TRUE, FALSE)), {0,0,0,0,0,0,0,0,0,1,0,0}),
_xlfn._xlws.FILTER(_xlfn._xlws.FILTER(Courses!$B$2:$M$46, IF(NOT(ISERROR(SEARCH(LEFT(B12,FIND(" ",B12)-1), Courses!$B$2:$B$46, 1))), TRUE, FALSE)), {0,0,0,1,0,0,0,0,0,0,0,0}))
/SUM(_xlfn._xlws.FILTER(_xlfn._xlws.FILTER(Courses!$B$2:$M$46, IF(NOT(ISERROR(SEARCH(LEFT(B12,FIND(" ",B12)-1), Courses!$B$2:$B$46, 1))), TRUE, FALSE)), {0,0,0,1,0,0,0,0,0,0,0,0})), 0.5)</f>
        <v>7</v>
      </c>
      <c r="J12" s="1">
        <f t="shared" si="1"/>
        <v>0.31111111111111112</v>
      </c>
    </row>
    <row r="13" spans="2:14" x14ac:dyDescent="0.25">
      <c r="B13" s="21" t="s">
        <v>10</v>
      </c>
      <c r="C13" s="19" cm="1">
        <f t="array" ref="C13">MROUND(SUMPRODUCT(_xlfn._xlws.FILTER(_xlfn._xlws.FILTER(Courses!$B$2:$E$46, IF(NOT(ISERROR(SEARCH(LEFT(B13,FIND(" ",B13)-1), Courses!$B$2:$B$46, 1))), TRUE, FALSE)), {0,0,1,0}), _xlfn._xlws.FILTER(_xlfn._xlws.FILTER(Courses!$B$2:$E$46, IF(NOT(ISERROR(SEARCH(LEFT(B13,FIND(" ",B13)-1), Courses!$B$2:$B$46, 1))), TRUE, FALSE)), {0,0,0,1}))/SUM(_xlfn._xlws.FILTER(_xlfn._xlws.FILTER(Courses!$B$2:$E$46, IF(NOT(ISERROR(SEARCH(LEFT(B13,FIND(" ",B13)-1), Courses!$B$2:$B$46, 1))), TRUE, FALSE)), {0,0,0,1})), 0.5)</f>
        <v>0</v>
      </c>
      <c r="D13" s="1" cm="1">
        <f t="array" ref="D13">SUM(_xlfn._xlws.FILTER(_xlfn._xlws.FILTER(Courses!$B$2:$E$46, IF(NOT(ISERROR(SEARCH(LEFT(B13,FIND(" ",B13)-1), Courses!$B$2:$B$46, 1))), TRUE, FALSE)), {0,0,0,1}))</f>
        <v>7</v>
      </c>
      <c r="E13" s="34" cm="1">
        <f t="array" ref="E13">_xlfn.XLOOKUP(1, --ISNUMBER(SEARCH(LEFT(B13,FIND(" ",B13)-1), Courses!$B$2:$B$46)), Courses!$M$2:$M$46, "no match")</f>
        <v>2</v>
      </c>
      <c r="F13" s="1" t="b" cm="1">
        <f t="array" ref="F13">AND(AND(_xlfn._xlws.FILTER(_xlfn._xlws.FILTER(Courses!$B$2:$N$46,IF(NOT(ISERROR(SEARCH(LEFT(B13,FIND(" ",B13)-1),Courses!$B$2:$B$46,1))),TRUE,FALSE)),{0,0,0,0,0,0,0,0,0,0,0,0,1})), C13&gt;5.99)</f>
        <v>0</v>
      </c>
      <c r="G13" s="1" cm="1">
        <f t="array" ref="G13">MROUND(SUMPRODUCT(
_xlfn._xlws.FILTER(_xlfn._xlws.FILTER(Courses!$B$2:$M$46, IF(NOT(ISERROR(SEARCH(LEFT(B13,FIND(" ",B13)-1), Courses!$B$2:$B$46, 1))), TRUE, FALSE)), {0,0,0,0,0,0,0,1,0,0,0,0}),
_xlfn._xlws.FILTER(_xlfn._xlws.FILTER(Courses!$B$2:$M$46, IF(NOT(ISERROR(SEARCH(LEFT(B13,FIND(" ",B13)-1), Courses!$B$2:$B$46, 1))), TRUE, FALSE)), {0,0,0,1,0,0,0,0,0,0,0,0}))
/SUM(_xlfn._xlws.FILTER(_xlfn._xlws.FILTER(Courses!$B$2:$M$46, IF(NOT(ISERROR(SEARCH(LEFT(B13,FIND(" ",B13)-1), Courses!$B$2:$B$46, 1))), TRUE, FALSE)), {0,0,0,1,0,0,0,0,0,0,0,0})), 0.5)</f>
        <v>9</v>
      </c>
      <c r="H13" s="1">
        <f t="shared" si="0"/>
        <v>0.35</v>
      </c>
      <c r="I13" s="1" cm="1">
        <f t="array" ref="I13">MROUND(SUMPRODUCT(
_xlfn._xlws.FILTER(_xlfn._xlws.FILTER(Courses!$B$2:$M$46, IF(NOT(ISERROR(SEARCH(LEFT(B13,FIND(" ",B13)-1), Courses!$B$2:$B$46, 1))), TRUE, FALSE)), {0,0,0,0,0,0,0,0,0,1,0,0}),
_xlfn._xlws.FILTER(_xlfn._xlws.FILTER(Courses!$B$2:$M$46, IF(NOT(ISERROR(SEARCH(LEFT(B13,FIND(" ",B13)-1), Courses!$B$2:$B$46, 1))), TRUE, FALSE)), {0,0,0,1,0,0,0,0,0,0,0,0}))
/SUM(_xlfn._xlws.FILTER(_xlfn._xlws.FILTER(Courses!$B$2:$M$46, IF(NOT(ISERROR(SEARCH(LEFT(B13,FIND(" ",B13)-1), Courses!$B$2:$B$46, 1))), TRUE, FALSE)), {0,0,0,1,0,0,0,0,0,0,0,0})), 0.5)</f>
        <v>7</v>
      </c>
      <c r="J13" s="1">
        <f t="shared" si="1"/>
        <v>0.2722222222222222</v>
      </c>
    </row>
    <row r="14" spans="2:14" x14ac:dyDescent="0.25">
      <c r="B14" s="21" t="s">
        <v>7</v>
      </c>
      <c r="C14" s="19" cm="1">
        <f t="array" ref="C14">MROUND(SUMPRODUCT(_xlfn._xlws.FILTER(_xlfn._xlws.FILTER(Courses!$B$2:$E$46, IF(NOT(ISERROR(SEARCH(LEFT(B14,FIND(" ",B14)-1), Courses!$B$2:$B$46, 1))), TRUE, FALSE)), {0,0,1,0}), _xlfn._xlws.FILTER(_xlfn._xlws.FILTER(Courses!$B$2:$E$46, IF(NOT(ISERROR(SEARCH(LEFT(B14,FIND(" ",B14)-1), Courses!$B$2:$B$46, 1))), TRUE, FALSE)), {0,0,0,1}))/SUM(_xlfn._xlws.FILTER(_xlfn._xlws.FILTER(Courses!$B$2:$E$46, IF(NOT(ISERROR(SEARCH(LEFT(B14,FIND(" ",B14)-1), Courses!$B$2:$B$46, 1))), TRUE, FALSE)), {0,0,0,1})), 0.5)</f>
        <v>0</v>
      </c>
      <c r="D14" s="1" cm="1">
        <f t="array" ref="D14">SUM(_xlfn._xlws.FILTER(_xlfn._xlws.FILTER(Courses!$B$2:$E$46, IF(NOT(ISERROR(SEARCH(LEFT(B14,FIND(" ",B14)-1), Courses!$B$2:$B$46, 1))), TRUE, FALSE)), {0,0,0,1}))</f>
        <v>8</v>
      </c>
      <c r="E14" s="34" cm="1">
        <f t="array" ref="E14">_xlfn.XLOOKUP(1, --ISNUMBER(SEARCH(LEFT(B14,FIND(" ",B14)-1), Courses!$B$2:$B$46)), Courses!$M$2:$M$46, "no match")</f>
        <v>2</v>
      </c>
      <c r="F14" s="1" t="b" cm="1">
        <f t="array" ref="F14">AND(AND(_xlfn._xlws.FILTER(_xlfn._xlws.FILTER(Courses!$B$2:$N$46,IF(NOT(ISERROR(SEARCH(LEFT(B14,FIND(" ",B14)-1),Courses!$B$2:$B$46,1))),TRUE,FALSE)),{0,0,0,0,0,0,0,0,0,0,0,0,1})), C14&gt;5.99)</f>
        <v>0</v>
      </c>
      <c r="G14" s="1" cm="1">
        <f t="array" ref="G14">MROUND(SUMPRODUCT(
_xlfn._xlws.FILTER(_xlfn._xlws.FILTER(Courses!$B$2:$M$46, IF(NOT(ISERROR(SEARCH(LEFT(B14,FIND(" ",B14)-1), Courses!$B$2:$B$46, 1))), TRUE, FALSE)), {0,0,0,0,0,0,0,1,0,0,0,0}),
_xlfn._xlws.FILTER(_xlfn._xlws.FILTER(Courses!$B$2:$M$46, IF(NOT(ISERROR(SEARCH(LEFT(B14,FIND(" ",B14)-1), Courses!$B$2:$B$46, 1))), TRUE, FALSE)), {0,0,0,1,0,0,0,0,0,0,0,0}))
/SUM(_xlfn._xlws.FILTER(_xlfn._xlws.FILTER(Courses!$B$2:$M$46, IF(NOT(ISERROR(SEARCH(LEFT(B14,FIND(" ",B14)-1), Courses!$B$2:$B$46, 1))), TRUE, FALSE)), {0,0,0,1,0,0,0,0,0,0,0,0})), 0.5)</f>
        <v>9</v>
      </c>
      <c r="H14" s="1">
        <f t="shared" si="0"/>
        <v>0.4</v>
      </c>
      <c r="I14" s="1" cm="1">
        <f t="array" ref="I14">MROUND(SUMPRODUCT(
_xlfn._xlws.FILTER(_xlfn._xlws.FILTER(Courses!$B$2:$M$46, IF(NOT(ISERROR(SEARCH(LEFT(B14,FIND(" ",B14)-1), Courses!$B$2:$B$46, 1))), TRUE, FALSE)), {0,0,0,0,0,0,0,0,0,1,0,0}),
_xlfn._xlws.FILTER(_xlfn._xlws.FILTER(Courses!$B$2:$M$46, IF(NOT(ISERROR(SEARCH(LEFT(B14,FIND(" ",B14)-1), Courses!$B$2:$B$46, 1))), TRUE, FALSE)), {0,0,0,1,0,0,0,0,0,0,0,0}))
/SUM(_xlfn._xlws.FILTER(_xlfn._xlws.FILTER(Courses!$B$2:$M$46, IF(NOT(ISERROR(SEARCH(LEFT(B14,FIND(" ",B14)-1), Courses!$B$2:$B$46, 1))), TRUE, FALSE)), {0,0,0,1,0,0,0,0,0,0,0,0})), 0.5)</f>
        <v>7</v>
      </c>
      <c r="J14" s="1">
        <f t="shared" si="1"/>
        <v>0.31111111111111112</v>
      </c>
    </row>
    <row r="15" spans="2:14" x14ac:dyDescent="0.25">
      <c r="B15" s="21" t="s">
        <v>34</v>
      </c>
      <c r="C15" s="19" cm="1">
        <f t="array" ref="C15">MROUND(SUMPRODUCT(_xlfn._xlws.FILTER(_xlfn._xlws.FILTER(Courses!$B$2:$E$46, IF(NOT(ISERROR(SEARCH(LEFT(B15,FIND(" ",B15)-1), Courses!$B$2:$B$46, 1))), TRUE, FALSE)), {0,0,1,0}), _xlfn._xlws.FILTER(_xlfn._xlws.FILTER(Courses!$B$2:$E$46, IF(NOT(ISERROR(SEARCH(LEFT(B15,FIND(" ",B15)-1), Courses!$B$2:$B$46, 1))), TRUE, FALSE)), {0,0,0,1}))/SUM(_xlfn._xlws.FILTER(_xlfn._xlws.FILTER(Courses!$B$2:$E$46, IF(NOT(ISERROR(SEARCH(LEFT(B15,FIND(" ",B15)-1), Courses!$B$2:$B$46, 1))), TRUE, FALSE)), {0,0,0,1})), 0.5)</f>
        <v>0</v>
      </c>
      <c r="D15" s="1" cm="1">
        <f t="array" ref="D15">SUM(_xlfn._xlws.FILTER(_xlfn._xlws.FILTER(Courses!$B$2:$E$46, IF(NOT(ISERROR(SEARCH(LEFT(B15,FIND(" ",B15)-1), Courses!$B$2:$B$46, 1))), TRUE, FALSE)), {0,0,0,1}))</f>
        <v>8</v>
      </c>
      <c r="E15" s="34" cm="1">
        <f t="array" ref="E15">_xlfn.XLOOKUP(1, --ISNUMBER(SEARCH(LEFT(B15,FIND(" ",B15)-1), Courses!$B$2:$B$46)), Courses!$M$2:$M$46, "no match")</f>
        <v>2</v>
      </c>
      <c r="F15" s="1" t="b" cm="1">
        <f t="array" ref="F15">AND(AND(_xlfn._xlws.FILTER(_xlfn._xlws.FILTER(Courses!$B$2:$N$46,IF(NOT(ISERROR(SEARCH(LEFT(B15,FIND(" ",B15)-1),Courses!$B$2:$B$46,1))),TRUE,FALSE)),{0,0,0,0,0,0,0,0,0,0,0,0,1})), C15&gt;5.99)</f>
        <v>0</v>
      </c>
      <c r="G15" s="1" cm="1">
        <f t="array" ref="G15">MROUND(SUMPRODUCT(
_xlfn._xlws.FILTER(_xlfn._xlws.FILTER(Courses!$B$2:$M$46, IF(NOT(ISERROR(SEARCH(LEFT(B15,FIND(" ",B15)-1), Courses!$B$2:$B$46, 1))), TRUE, FALSE)), {0,0,0,0,0,0,0,1,0,0,0,0}),
_xlfn._xlws.FILTER(_xlfn._xlws.FILTER(Courses!$B$2:$M$46, IF(NOT(ISERROR(SEARCH(LEFT(B15,FIND(" ",B15)-1), Courses!$B$2:$B$46, 1))), TRUE, FALSE)), {0,0,0,1,0,0,0,0,0,0,0,0}))
/SUM(_xlfn._xlws.FILTER(_xlfn._xlws.FILTER(Courses!$B$2:$M$46, IF(NOT(ISERROR(SEARCH(LEFT(B15,FIND(" ",B15)-1), Courses!$B$2:$B$46, 1))), TRUE, FALSE)), {0,0,0,1,0,0,0,0,0,0,0,0})), 0.5)</f>
        <v>9</v>
      </c>
      <c r="H15" s="1">
        <f t="shared" si="0"/>
        <v>0.4</v>
      </c>
      <c r="I15" s="1" cm="1">
        <f t="array" ref="I15">MROUND(SUMPRODUCT(
_xlfn._xlws.FILTER(_xlfn._xlws.FILTER(Courses!$B$2:$M$46, IF(NOT(ISERROR(SEARCH(LEFT(B15,FIND(" ",B15)-1), Courses!$B$2:$B$46, 1))), TRUE, FALSE)), {0,0,0,0,0,0,0,0,0,1,0,0}),
_xlfn._xlws.FILTER(_xlfn._xlws.FILTER(Courses!$B$2:$M$46, IF(NOT(ISERROR(SEARCH(LEFT(B15,FIND(" ",B15)-1), Courses!$B$2:$B$46, 1))), TRUE, FALSE)), {0,0,0,1,0,0,0,0,0,0,0,0}))
/SUM(_xlfn._xlws.FILTER(_xlfn._xlws.FILTER(Courses!$B$2:$M$46, IF(NOT(ISERROR(SEARCH(LEFT(B15,FIND(" ",B15)-1), Courses!$B$2:$B$46, 1))), TRUE, FALSE)), {0,0,0,1,0,0,0,0,0,0,0,0})), 0.5)</f>
        <v>7</v>
      </c>
      <c r="J15" s="1">
        <f t="shared" si="1"/>
        <v>0.31111111111111112</v>
      </c>
    </row>
    <row r="16" spans="2:14" x14ac:dyDescent="0.25">
      <c r="B16" s="21" t="s">
        <v>14</v>
      </c>
      <c r="C16" s="19" cm="1">
        <f t="array" ref="C16">MROUND(SUMPRODUCT(_xlfn._xlws.FILTER(_xlfn._xlws.FILTER(Courses!$B$2:$E$46, IF(NOT(ISERROR(SEARCH(LEFT(B16,FIND(" ",B16)-1), Courses!$B$2:$B$46, 1))), TRUE, FALSE)), {0,0,1,0}), _xlfn._xlws.FILTER(_xlfn._xlws.FILTER(Courses!$B$2:$E$46, IF(NOT(ISERROR(SEARCH(LEFT(B16,FIND(" ",B16)-1), Courses!$B$2:$B$46, 1))), TRUE, FALSE)), {0,0,0,1}))/SUM(_xlfn._xlws.FILTER(_xlfn._xlws.FILTER(Courses!$B$2:$E$46, IF(NOT(ISERROR(SEARCH(LEFT(B16,FIND(" ",B16)-1), Courses!$B$2:$B$46, 1))), TRUE, FALSE)), {0,0,0,1})), 0.5)</f>
        <v>0</v>
      </c>
      <c r="D16" s="1" cm="1">
        <f t="array" ref="D16">SUM(_xlfn._xlws.FILTER(_xlfn._xlws.FILTER(Courses!$B$2:$E$46, IF(NOT(ISERROR(SEARCH(LEFT(B16,FIND(" ",B16)-1), Courses!$B$2:$B$46, 1))), TRUE, FALSE)), {0,0,0,1}))</f>
        <v>6</v>
      </c>
      <c r="E16" s="34" cm="1">
        <f t="array" ref="E16">_xlfn.XLOOKUP(1, --ISNUMBER(SEARCH(LEFT(B16,FIND(" ",B16)-1), Courses!$B$2:$B$46)), Courses!$M$2:$M$46, "no match")</f>
        <v>2</v>
      </c>
      <c r="F16" s="1" t="b" cm="1">
        <f t="array" ref="F16">AND(AND(_xlfn._xlws.FILTER(_xlfn._xlws.FILTER(Courses!$B$2:$N$46,IF(NOT(ISERROR(SEARCH(LEFT(B16,FIND(" ",B16)-1),Courses!$B$2:$B$46,1))),TRUE,FALSE)),{0,0,0,0,0,0,0,0,0,0,0,0,1})), C16&gt;5.99)</f>
        <v>0</v>
      </c>
      <c r="G16" s="1" cm="1">
        <f t="array" ref="G16">MROUND(SUMPRODUCT(
_xlfn._xlws.FILTER(_xlfn._xlws.FILTER(Courses!$B$2:$M$46, IF(NOT(ISERROR(SEARCH(LEFT(B16,FIND(" ",B16)-1), Courses!$B$2:$B$46, 1))), TRUE, FALSE)), {0,0,0,0,0,0,0,1,0,0,0,0}),
_xlfn._xlws.FILTER(_xlfn._xlws.FILTER(Courses!$B$2:$M$46, IF(NOT(ISERROR(SEARCH(LEFT(B16,FIND(" ",B16)-1), Courses!$B$2:$B$46, 1))), TRUE, FALSE)), {0,0,0,1,0,0,0,0,0,0,0,0}))
/SUM(_xlfn._xlws.FILTER(_xlfn._xlws.FILTER(Courses!$B$2:$M$46, IF(NOT(ISERROR(SEARCH(LEFT(B16,FIND(" ",B16)-1), Courses!$B$2:$B$46, 1))), TRUE, FALSE)), {0,0,0,1,0,0,0,0,0,0,0,0})), 0.5)</f>
        <v>9</v>
      </c>
      <c r="H16" s="1">
        <f t="shared" si="0"/>
        <v>0.3</v>
      </c>
      <c r="I16" s="1" cm="1">
        <f t="array" ref="I16">MROUND(SUMPRODUCT(
_xlfn._xlws.FILTER(_xlfn._xlws.FILTER(Courses!$B$2:$M$46, IF(NOT(ISERROR(SEARCH(LEFT(B16,FIND(" ",B16)-1), Courses!$B$2:$B$46, 1))), TRUE, FALSE)), {0,0,0,0,0,0,0,0,0,1,0,0}),
_xlfn._xlws.FILTER(_xlfn._xlws.FILTER(Courses!$B$2:$M$46, IF(NOT(ISERROR(SEARCH(LEFT(B16,FIND(" ",B16)-1), Courses!$B$2:$B$46, 1))), TRUE, FALSE)), {0,0,0,1,0,0,0,0,0,0,0,0}))
/SUM(_xlfn._xlws.FILTER(_xlfn._xlws.FILTER(Courses!$B$2:$M$46, IF(NOT(ISERROR(SEARCH(LEFT(B16,FIND(" ",B16)-1), Courses!$B$2:$B$46, 1))), TRUE, FALSE)), {0,0,0,1,0,0,0,0,0,0,0,0})), 0.5)</f>
        <v>7</v>
      </c>
      <c r="J16" s="1">
        <f t="shared" si="1"/>
        <v>0.23333333333333334</v>
      </c>
    </row>
    <row r="17" spans="2:10" x14ac:dyDescent="0.25">
      <c r="B17" s="21" t="s">
        <v>6</v>
      </c>
      <c r="C17" s="19" cm="1">
        <f t="array" ref="C17">MROUND(SUMPRODUCT(_xlfn._xlws.FILTER(_xlfn._xlws.FILTER(Courses!$B$2:$E$46, IF(NOT(ISERROR(SEARCH(LEFT(B17,FIND(" ",B17)-1), Courses!$B$2:$B$46, 1))), TRUE, FALSE)), {0,0,1,0}), _xlfn._xlws.FILTER(_xlfn._xlws.FILTER(Courses!$B$2:$E$46, IF(NOT(ISERROR(SEARCH(LEFT(B17,FIND(" ",B17)-1), Courses!$B$2:$B$46, 1))), TRUE, FALSE)), {0,0,0,1}))/SUM(_xlfn._xlws.FILTER(_xlfn._xlws.FILTER(Courses!$B$2:$E$46, IF(NOT(ISERROR(SEARCH(LEFT(B17,FIND(" ",B17)-1), Courses!$B$2:$B$46, 1))), TRUE, FALSE)), {0,0,0,1})), 0.5)</f>
        <v>0</v>
      </c>
      <c r="D17" s="1" cm="1">
        <f t="array" ref="D17">SUM(_xlfn._xlws.FILTER(_xlfn._xlws.FILTER(Courses!$B$2:$E$46, IF(NOT(ISERROR(SEARCH(LEFT(B17,FIND(" ",B17)-1), Courses!$B$2:$B$46, 1))), TRUE, FALSE)), {0,0,0,1}))</f>
        <v>8</v>
      </c>
      <c r="E17" s="34" cm="1">
        <f t="array" ref="E17">_xlfn.XLOOKUP(1, --ISNUMBER(SEARCH(LEFT(B17,FIND(" ",B17)-1), Courses!$B$2:$B$46)), Courses!$M$2:$M$46, "no match")</f>
        <v>2</v>
      </c>
      <c r="F17" s="1" t="b" cm="1">
        <f t="array" ref="F17">AND(AND(_xlfn._xlws.FILTER(_xlfn._xlws.FILTER(Courses!$B$2:$N$46,IF(NOT(ISERROR(SEARCH(LEFT(B17,FIND(" ",B17)-1),Courses!$B$2:$B$46,1))),TRUE,FALSE)),{0,0,0,0,0,0,0,0,0,0,0,0,1})), C17&gt;5.99)</f>
        <v>0</v>
      </c>
      <c r="G17" s="1" cm="1">
        <f t="array" ref="G17">MROUND(SUMPRODUCT(
_xlfn._xlws.FILTER(_xlfn._xlws.FILTER(Courses!$B$2:$M$46, IF(NOT(ISERROR(SEARCH(LEFT(B17,FIND(" ",B17)-1), Courses!$B$2:$B$46, 1))), TRUE, FALSE)), {0,0,0,0,0,0,0,1,0,0,0,0}),
_xlfn._xlws.FILTER(_xlfn._xlws.FILTER(Courses!$B$2:$M$46, IF(NOT(ISERROR(SEARCH(LEFT(B17,FIND(" ",B17)-1), Courses!$B$2:$B$46, 1))), TRUE, FALSE)), {0,0,0,1,0,0,0,0,0,0,0,0}))
/SUM(_xlfn._xlws.FILTER(_xlfn._xlws.FILTER(Courses!$B$2:$M$46, IF(NOT(ISERROR(SEARCH(LEFT(B17,FIND(" ",B17)-1), Courses!$B$2:$B$46, 1))), TRUE, FALSE)), {0,0,0,1,0,0,0,0,0,0,0,0})), 0.5)</f>
        <v>9</v>
      </c>
      <c r="H17" s="1">
        <f t="shared" si="0"/>
        <v>0.4</v>
      </c>
      <c r="I17" s="1" cm="1">
        <f t="array" ref="I17">MROUND(SUMPRODUCT(
_xlfn._xlws.FILTER(_xlfn._xlws.FILTER(Courses!$B$2:$M$46, IF(NOT(ISERROR(SEARCH(LEFT(B17,FIND(" ",B17)-1), Courses!$B$2:$B$46, 1))), TRUE, FALSE)), {0,0,0,0,0,0,0,0,0,1,0,0}),
_xlfn._xlws.FILTER(_xlfn._xlws.FILTER(Courses!$B$2:$M$46, IF(NOT(ISERROR(SEARCH(LEFT(B17,FIND(" ",B17)-1), Courses!$B$2:$B$46, 1))), TRUE, FALSE)), {0,0,0,1,0,0,0,0,0,0,0,0}))
/SUM(_xlfn._xlws.FILTER(_xlfn._xlws.FILTER(Courses!$B$2:$M$46, IF(NOT(ISERROR(SEARCH(LEFT(B17,FIND(" ",B17)-1), Courses!$B$2:$B$46, 1))), TRUE, FALSE)), {0,0,0,1,0,0,0,0,0,0,0,0})), 0.5)</f>
        <v>7</v>
      </c>
      <c r="J17" s="1">
        <f t="shared" si="1"/>
        <v>0.31111111111111112</v>
      </c>
    </row>
    <row r="18" spans="2:10" x14ac:dyDescent="0.25">
      <c r="B18" s="21" t="s">
        <v>8</v>
      </c>
      <c r="C18" s="19" cm="1">
        <f t="array" ref="C18">MROUND(SUMPRODUCT(_xlfn._xlws.FILTER(_xlfn._xlws.FILTER(Courses!$B$2:$E$46, IF(NOT(ISERROR(SEARCH(LEFT(B18,FIND(" ",B18)-1), Courses!$B$2:$B$46, 1))), TRUE, FALSE)), {0,0,1,0}), _xlfn._xlws.FILTER(_xlfn._xlws.FILTER(Courses!$B$2:$E$46, IF(NOT(ISERROR(SEARCH(LEFT(B18,FIND(" ",B18)-1), Courses!$B$2:$B$46, 1))), TRUE, FALSE)), {0,0,0,1}))/SUM(_xlfn._xlws.FILTER(_xlfn._xlws.FILTER(Courses!$B$2:$E$46, IF(NOT(ISERROR(SEARCH(LEFT(B18,FIND(" ",B18)-1), Courses!$B$2:$B$46, 1))), TRUE, FALSE)), {0,0,0,1})), 0.5)</f>
        <v>0</v>
      </c>
      <c r="D18" s="1" cm="1">
        <f t="array" ref="D18">SUM(_xlfn._xlws.FILTER(_xlfn._xlws.FILTER(Courses!$B$2:$E$46, IF(NOT(ISERROR(SEARCH(LEFT(B18,FIND(" ",B18)-1), Courses!$B$2:$B$46, 1))), TRUE, FALSE)), {0,0,0,1}))</f>
        <v>7</v>
      </c>
      <c r="E18" s="34" cm="1">
        <f t="array" ref="E18">_xlfn.XLOOKUP(1, --ISNUMBER(SEARCH(LEFT(B18,FIND(" ",B18)-1), Courses!$B$2:$B$46)), Courses!$M$2:$M$46, "no match")</f>
        <v>2</v>
      </c>
      <c r="F18" s="1" t="b" cm="1">
        <f t="array" ref="F18">AND(AND(_xlfn._xlws.FILTER(_xlfn._xlws.FILTER(Courses!$B$2:$N$46,IF(NOT(ISERROR(SEARCH(LEFT(B18,FIND(" ",B18)-1),Courses!$B$2:$B$46,1))),TRUE,FALSE)),{0,0,0,0,0,0,0,0,0,0,0,0,1})), C18&gt;5.99)</f>
        <v>0</v>
      </c>
      <c r="G18" s="1" cm="1">
        <f t="array" ref="G18">MROUND(SUMPRODUCT(
_xlfn._xlws.FILTER(_xlfn._xlws.FILTER(Courses!$B$2:$M$46, IF(NOT(ISERROR(SEARCH(LEFT(B18,FIND(" ",B18)-1), Courses!$B$2:$B$46, 1))), TRUE, FALSE)), {0,0,0,0,0,0,0,1,0,0,0,0}),
_xlfn._xlws.FILTER(_xlfn._xlws.FILTER(Courses!$B$2:$M$46, IF(NOT(ISERROR(SEARCH(LEFT(B18,FIND(" ",B18)-1), Courses!$B$2:$B$46, 1))), TRUE, FALSE)), {0,0,0,1,0,0,0,0,0,0,0,0}))
/SUM(_xlfn._xlws.FILTER(_xlfn._xlws.FILTER(Courses!$B$2:$M$46, IF(NOT(ISERROR(SEARCH(LEFT(B18,FIND(" ",B18)-1), Courses!$B$2:$B$46, 1))), TRUE, FALSE)), {0,0,0,1,0,0,0,0,0,0,0,0})), 0.5)</f>
        <v>9</v>
      </c>
      <c r="H18" s="1">
        <f t="shared" si="0"/>
        <v>0.35</v>
      </c>
      <c r="I18" s="1" cm="1">
        <f t="array" ref="I18">MROUND(SUMPRODUCT(
_xlfn._xlws.FILTER(_xlfn._xlws.FILTER(Courses!$B$2:$M$46, IF(NOT(ISERROR(SEARCH(LEFT(B18,FIND(" ",B18)-1), Courses!$B$2:$B$46, 1))), TRUE, FALSE)), {0,0,0,0,0,0,0,0,0,1,0,0}),
_xlfn._xlws.FILTER(_xlfn._xlws.FILTER(Courses!$B$2:$M$46, IF(NOT(ISERROR(SEARCH(LEFT(B18,FIND(" ",B18)-1), Courses!$B$2:$B$46, 1))), TRUE, FALSE)), {0,0,0,1,0,0,0,0,0,0,0,0}))
/SUM(_xlfn._xlws.FILTER(_xlfn._xlws.FILTER(Courses!$B$2:$M$46, IF(NOT(ISERROR(SEARCH(LEFT(B18,FIND(" ",B18)-1), Courses!$B$2:$B$46, 1))), TRUE, FALSE)), {0,0,0,1,0,0,0,0,0,0,0,0})), 0.5)</f>
        <v>7</v>
      </c>
      <c r="J18" s="1">
        <f t="shared" si="1"/>
        <v>0.2722222222222222</v>
      </c>
    </row>
    <row r="19" spans="2:10" x14ac:dyDescent="0.25">
      <c r="B19" s="21" t="s">
        <v>4</v>
      </c>
      <c r="C19" s="19" cm="1">
        <f t="array" ref="C19">MROUND(SUMPRODUCT(_xlfn._xlws.FILTER(_xlfn._xlws.FILTER(Courses!$B$2:$E$46, IF(NOT(ISERROR(SEARCH(LEFT(B19,FIND(" ",B19)-1), Courses!$B$2:$B$46, 1))), TRUE, FALSE)), {0,0,1,0}), _xlfn._xlws.FILTER(_xlfn._xlws.FILTER(Courses!$B$2:$E$46, IF(NOT(ISERROR(SEARCH(LEFT(B19,FIND(" ",B19)-1), Courses!$B$2:$B$46, 1))), TRUE, FALSE)), {0,0,0,1}))/SUM(_xlfn._xlws.FILTER(_xlfn._xlws.FILTER(Courses!$B$2:$E$46, IF(NOT(ISERROR(SEARCH(LEFT(B19,FIND(" ",B19)-1), Courses!$B$2:$B$46, 1))), TRUE, FALSE)), {0,0,0,1})), 0.5)</f>
        <v>0</v>
      </c>
      <c r="D19" s="1" cm="1">
        <f t="array" ref="D19">SUM(_xlfn._xlws.FILTER(_xlfn._xlws.FILTER(Courses!$B$2:$E$46, IF(NOT(ISERROR(SEARCH(LEFT(B19,FIND(" ",B19)-1), Courses!$B$2:$B$46, 1))), TRUE, FALSE)), {0,0,0,1}))</f>
        <v>8</v>
      </c>
      <c r="E19" s="34" cm="1">
        <f t="array" ref="E19">_xlfn.XLOOKUP(1, --ISNUMBER(SEARCH(LEFT(B19,FIND(" ",B19)-1), Courses!$B$2:$B$46)), Courses!$M$2:$M$46, "no match")</f>
        <v>2</v>
      </c>
      <c r="F19" s="1" t="b" cm="1">
        <f t="array" ref="F19">AND(AND(_xlfn._xlws.FILTER(_xlfn._xlws.FILTER(Courses!$B$2:$N$46,IF(NOT(ISERROR(SEARCH(LEFT(B19,FIND(" ",B19)-1),Courses!$B$2:$B$46,1))),TRUE,FALSE)),{0,0,0,0,0,0,0,0,0,0,0,0,1})), C19&gt;5.99)</f>
        <v>0</v>
      </c>
      <c r="G19" s="1" cm="1">
        <f t="array" ref="G19">MROUND(SUMPRODUCT(
_xlfn._xlws.FILTER(_xlfn._xlws.FILTER(Courses!$B$2:$M$46, IF(NOT(ISERROR(SEARCH(LEFT(B19,FIND(" ",B19)-1), Courses!$B$2:$B$46, 1))), TRUE, FALSE)), {0,0,0,0,0,0,0,1,0,0,0,0}),
_xlfn._xlws.FILTER(_xlfn._xlws.FILTER(Courses!$B$2:$M$46, IF(NOT(ISERROR(SEARCH(LEFT(B19,FIND(" ",B19)-1), Courses!$B$2:$B$46, 1))), TRUE, FALSE)), {0,0,0,1,0,0,0,0,0,0,0,0}))
/SUM(_xlfn._xlws.FILTER(_xlfn._xlws.FILTER(Courses!$B$2:$M$46, IF(NOT(ISERROR(SEARCH(LEFT(B19,FIND(" ",B19)-1), Courses!$B$2:$B$46, 1))), TRUE, FALSE)), {0,0,0,1,0,0,0,0,0,0,0,0})), 0.5)</f>
        <v>9</v>
      </c>
      <c r="H19" s="1">
        <f t="shared" si="0"/>
        <v>0.4</v>
      </c>
      <c r="I19" s="1" cm="1">
        <f t="array" ref="I19">MROUND(SUMPRODUCT(
_xlfn._xlws.FILTER(_xlfn._xlws.FILTER(Courses!$B$2:$M$46, IF(NOT(ISERROR(SEARCH(LEFT(B19,FIND(" ",B19)-1), Courses!$B$2:$B$46, 1))), TRUE, FALSE)), {0,0,0,0,0,0,0,0,0,1,0,0}),
_xlfn._xlws.FILTER(_xlfn._xlws.FILTER(Courses!$B$2:$M$46, IF(NOT(ISERROR(SEARCH(LEFT(B19,FIND(" ",B19)-1), Courses!$B$2:$B$46, 1))), TRUE, FALSE)), {0,0,0,1,0,0,0,0,0,0,0,0}))
/SUM(_xlfn._xlws.FILTER(_xlfn._xlws.FILTER(Courses!$B$2:$M$46, IF(NOT(ISERROR(SEARCH(LEFT(B19,FIND(" ",B19)-1), Courses!$B$2:$B$46, 1))), TRUE, FALSE)), {0,0,0,1,0,0,0,0,0,0,0,0})), 0.5)</f>
        <v>7</v>
      </c>
      <c r="J19" s="1">
        <f t="shared" si="1"/>
        <v>0.31111111111111112</v>
      </c>
    </row>
    <row r="20" spans="2:10" x14ac:dyDescent="0.25">
      <c r="B20" s="21" t="s">
        <v>15</v>
      </c>
      <c r="C20" s="19" cm="1">
        <f t="array" ref="C20">MROUND(SUMPRODUCT(_xlfn._xlws.FILTER(_xlfn._xlws.FILTER(Courses!$B$2:$E$46, IF(NOT(ISERROR(SEARCH(LEFT(B20,FIND(" ",B20)-1), Courses!$B$2:$B$46, 1))), TRUE, FALSE)), {0,0,1,0}), _xlfn._xlws.FILTER(_xlfn._xlws.FILTER(Courses!$B$2:$E$46, IF(NOT(ISERROR(SEARCH(LEFT(B20,FIND(" ",B20)-1), Courses!$B$2:$B$46, 1))), TRUE, FALSE)), {0,0,0,1}))/SUM(_xlfn._xlws.FILTER(_xlfn._xlws.FILTER(Courses!$B$2:$E$46, IF(NOT(ISERROR(SEARCH(LEFT(B20,FIND(" ",B20)-1), Courses!$B$2:$B$46, 1))), TRUE, FALSE)), {0,0,0,1})), 0.5)</f>
        <v>0</v>
      </c>
      <c r="D20" s="1" cm="1">
        <f t="array" ref="D20">SUM(_xlfn._xlws.FILTER(_xlfn._xlws.FILTER(Courses!$B$2:$E$46, IF(NOT(ISERROR(SEARCH(LEFT(B20,FIND(" ",B20)-1), Courses!$B$2:$B$46, 1))), TRUE, FALSE)), {0,0,0,1}))</f>
        <v>6</v>
      </c>
      <c r="E20" s="34" cm="1">
        <f t="array" ref="E20">_xlfn.XLOOKUP(1, --ISNUMBER(SEARCH(LEFT(B20,FIND(" ",B20)-1), Courses!$B$2:$B$46)), Courses!$M$2:$M$46, "no match")</f>
        <v>3</v>
      </c>
      <c r="F20" s="1" t="b" cm="1">
        <f t="array" ref="F20">AND(AND(_xlfn._xlws.FILTER(_xlfn._xlws.FILTER(Courses!$B$2:$N$46,IF(NOT(ISERROR(SEARCH(LEFT(B20,FIND(" ",B20)-1),Courses!$B$2:$B$46,1))),TRUE,FALSE)),{0,0,0,0,0,0,0,0,0,0,0,0,1})), C20&gt;5.99)</f>
        <v>0</v>
      </c>
      <c r="G20" s="1" cm="1">
        <f t="array" ref="G20">MROUND(SUMPRODUCT(
_xlfn._xlws.FILTER(_xlfn._xlws.FILTER(Courses!$B$2:$M$46, IF(NOT(ISERROR(SEARCH(LEFT(B20,FIND(" ",B20)-1), Courses!$B$2:$B$46, 1))), TRUE, FALSE)), {0,0,0,0,0,0,0,1,0,0,0,0}),
_xlfn._xlws.FILTER(_xlfn._xlws.FILTER(Courses!$B$2:$M$46, IF(NOT(ISERROR(SEARCH(LEFT(B20,FIND(" ",B20)-1), Courses!$B$2:$B$46, 1))), TRUE, FALSE)), {0,0,0,1,0,0,0,0,0,0,0,0}))
/SUM(_xlfn._xlws.FILTER(_xlfn._xlws.FILTER(Courses!$B$2:$M$46, IF(NOT(ISERROR(SEARCH(LEFT(B20,FIND(" ",B20)-1), Courses!$B$2:$B$46, 1))), TRUE, FALSE)), {0,0,0,1,0,0,0,0,0,0,0,0})), 0.5)</f>
        <v>9</v>
      </c>
      <c r="H20" s="1">
        <f t="shared" si="0"/>
        <v>0.3</v>
      </c>
      <c r="I20" s="1" cm="1">
        <f t="array" ref="I20">MROUND(SUMPRODUCT(
_xlfn._xlws.FILTER(_xlfn._xlws.FILTER(Courses!$B$2:$M$46, IF(NOT(ISERROR(SEARCH(LEFT(B20,FIND(" ",B20)-1), Courses!$B$2:$B$46, 1))), TRUE, FALSE)), {0,0,0,0,0,0,0,0,0,1,0,0}),
_xlfn._xlws.FILTER(_xlfn._xlws.FILTER(Courses!$B$2:$M$46, IF(NOT(ISERROR(SEARCH(LEFT(B20,FIND(" ",B20)-1), Courses!$B$2:$B$46, 1))), TRUE, FALSE)), {0,0,0,1,0,0,0,0,0,0,0,0}))
/SUM(_xlfn._xlws.FILTER(_xlfn._xlws.FILTER(Courses!$B$2:$M$46, IF(NOT(ISERROR(SEARCH(LEFT(B20,FIND(" ",B20)-1), Courses!$B$2:$B$46, 1))), TRUE, FALSE)), {0,0,0,1,0,0,0,0,0,0,0,0})), 0.5)</f>
        <v>7</v>
      </c>
      <c r="J20" s="1">
        <f t="shared" si="1"/>
        <v>0.23333333333333334</v>
      </c>
    </row>
    <row r="21" spans="2:10" x14ac:dyDescent="0.25">
      <c r="B21" s="1" t="s">
        <v>1</v>
      </c>
      <c r="C21" s="19" cm="1">
        <f t="array" ref="C21">MROUND(SUMPRODUCT(_xlfn._xlws.FILTER(_xlfn._xlws.FILTER(Courses!$B$2:$E$46, IF(NOT(ISERROR(SEARCH(LEFT(B21,FIND(" ",B21)-1), Courses!$B$2:$B$46, 1))), TRUE, FALSE)), {0,0,1,0}), _xlfn._xlws.FILTER(_xlfn._xlws.FILTER(Courses!$B$2:$E$46, IF(NOT(ISERROR(SEARCH(LEFT(B21,FIND(" ",B21)-1), Courses!$B$2:$B$46, 1))), TRUE, FALSE)), {0,0,0,1}))/SUM(_xlfn._xlws.FILTER(_xlfn._xlws.FILTER(Courses!$B$2:$E$46, IF(NOT(ISERROR(SEARCH(LEFT(B21,FIND(" ",B21)-1), Courses!$B$2:$B$46, 1))), TRUE, FALSE)), {0,0,0,1})), 0.5)</f>
        <v>0</v>
      </c>
      <c r="D21" s="1" cm="1">
        <f t="array" ref="D21">SUM(_xlfn._xlws.FILTER(_xlfn._xlws.FILTER(Courses!$B$2:$E$46, IF(NOT(ISERROR(SEARCH(LEFT(B21,FIND(" ",B21)-1), Courses!$B$2:$B$46, 1))), TRUE, FALSE)), {0,0,0,1}))</f>
        <v>15</v>
      </c>
      <c r="E21" s="34" cm="1">
        <f t="array" ref="E21">_xlfn.XLOOKUP(1, --ISNUMBER(SEARCH(LEFT(B21,FIND(" ",B21)-1), Courses!$B$2:$B$46)), Courses!$M$2:$M$46, "no match")</f>
        <v>3</v>
      </c>
      <c r="F21" s="1" t="b" cm="1">
        <f t="array" ref="F21">AND(AND(_xlfn._xlws.FILTER(_xlfn._xlws.FILTER(Courses!$B$2:$N$46,IF(NOT(ISERROR(SEARCH(LEFT(B21,FIND(" ",B21)-1),Courses!$B$2:$B$46,1))),TRUE,FALSE)),{0,0,0,0,0,0,0,0,0,0,0,0,1})), C21&gt;5.99)</f>
        <v>0</v>
      </c>
      <c r="G21" s="1" cm="1">
        <f t="array" ref="G21">MROUND(SUMPRODUCT(
_xlfn._xlws.FILTER(_xlfn._xlws.FILTER(Courses!$B$2:$M$46, IF(NOT(ISERROR(SEARCH(LEFT(B21,FIND(" ",B21)-1), Courses!$B$2:$B$46, 1))), TRUE, FALSE)), {0,0,0,0,0,0,0,1,0,0,0,0}),
_xlfn._xlws.FILTER(_xlfn._xlws.FILTER(Courses!$B$2:$M$46, IF(NOT(ISERROR(SEARCH(LEFT(B21,FIND(" ",B21)-1), Courses!$B$2:$B$46, 1))), TRUE, FALSE)), {0,0,0,1,0,0,0,0,0,0,0,0}))
/SUM(_xlfn._xlws.FILTER(_xlfn._xlws.FILTER(Courses!$B$2:$M$46, IF(NOT(ISERROR(SEARCH(LEFT(B21,FIND(" ",B21)-1), Courses!$B$2:$B$46, 1))), TRUE, FALSE)), {0,0,0,1,0,0,0,0,0,0,0,0})), 0.5)</f>
        <v>9</v>
      </c>
      <c r="H21" s="1">
        <f t="shared" si="0"/>
        <v>0.75</v>
      </c>
      <c r="I21" s="1" cm="1">
        <f t="array" ref="I21">MROUND(SUMPRODUCT(
_xlfn._xlws.FILTER(_xlfn._xlws.FILTER(Courses!$B$2:$M$46, IF(NOT(ISERROR(SEARCH(LEFT(B21,FIND(" ",B21)-1), Courses!$B$2:$B$46, 1))), TRUE, FALSE)), {0,0,0,0,0,0,0,0,0,1,0,0}),
_xlfn._xlws.FILTER(_xlfn._xlws.FILTER(Courses!$B$2:$M$46, IF(NOT(ISERROR(SEARCH(LEFT(B21,FIND(" ",B21)-1), Courses!$B$2:$B$46, 1))), TRUE, FALSE)), {0,0,0,1,0,0,0,0,0,0,0,0}))
/SUM(_xlfn._xlws.FILTER(_xlfn._xlws.FILTER(Courses!$B$2:$M$46, IF(NOT(ISERROR(SEARCH(LEFT(B21,FIND(" ",B21)-1), Courses!$B$2:$B$46, 1))), TRUE, FALSE)), {0,0,0,1,0,0,0,0,0,0,0,0})), 0.5)</f>
        <v>7</v>
      </c>
      <c r="J21" s="1">
        <f t="shared" si="1"/>
        <v>0.58333333333333337</v>
      </c>
    </row>
    <row r="22" spans="2:10" x14ac:dyDescent="0.25">
      <c r="B22" s="21" t="s">
        <v>68</v>
      </c>
      <c r="C22" s="19" cm="1">
        <f t="array" ref="C22">MROUND(SUMPRODUCT(_xlfn._xlws.FILTER(_xlfn._xlws.FILTER(Courses!$B$2:$E$46, IF(NOT(ISERROR(SEARCH(LEFT(B22,FIND(" ",B22)-1), Courses!$B$2:$B$46, 1))), TRUE, FALSE)), {0,0,1,0}), _xlfn._xlws.FILTER(_xlfn._xlws.FILTER(Courses!$B$2:$E$46, IF(NOT(ISERROR(SEARCH(LEFT(B22,FIND(" ",B22)-1), Courses!$B$2:$B$46, 1))), TRUE, FALSE)), {0,0,0,1}))/SUM(_xlfn._xlws.FILTER(_xlfn._xlws.FILTER(Courses!$B$2:$E$46, IF(NOT(ISERROR(SEARCH(LEFT(B22,FIND(" ",B22)-1), Courses!$B$2:$B$46, 1))), TRUE, FALSE)), {0,0,0,1})), 0.5)</f>
        <v>0</v>
      </c>
      <c r="D22" s="1" cm="1">
        <f t="array" ref="D22">SUM(_xlfn._xlws.FILTER(_xlfn._xlws.FILTER(Courses!$B$2:$E$46, IF(NOT(ISERROR(SEARCH(LEFT(B22,FIND(" ",B22)-1), Courses!$B$2:$B$46, 1))), TRUE, FALSE)), {0,0,0,1}))</f>
        <v>9</v>
      </c>
      <c r="E22" s="34" cm="1">
        <f t="array" ref="E22">_xlfn.XLOOKUP(1, --ISNUMBER(SEARCH(LEFT(B22,FIND(" ",B22)-1), Courses!$B$2:$B$46)), Courses!$M$2:$M$46, "no match")</f>
        <v>3</v>
      </c>
      <c r="F22" s="1" t="b" cm="1">
        <f t="array" ref="F22">AND(AND(_xlfn._xlws.FILTER(_xlfn._xlws.FILTER(Courses!$B$2:$N$46,IF(NOT(ISERROR(SEARCH(LEFT(B22,FIND(" ",B22)-1),Courses!$B$2:$B$46,1))),TRUE,FALSE)),{0,0,0,0,0,0,0,0,0,0,0,0,1})), C22&gt;5.99)</f>
        <v>0</v>
      </c>
      <c r="G22" s="1" cm="1">
        <f t="array" ref="G22">MROUND(SUMPRODUCT(
_xlfn._xlws.FILTER(_xlfn._xlws.FILTER(Courses!$B$2:$M$46, IF(NOT(ISERROR(SEARCH(LEFT(B22,FIND(" ",B22)-1), Courses!$B$2:$B$46, 1))), TRUE, FALSE)), {0,0,0,0,0,0,0,1,0,0,0,0}),
_xlfn._xlws.FILTER(_xlfn._xlws.FILTER(Courses!$B$2:$M$46, IF(NOT(ISERROR(SEARCH(LEFT(B22,FIND(" ",B22)-1), Courses!$B$2:$B$46, 1))), TRUE, FALSE)), {0,0,0,1,0,0,0,0,0,0,0,0}))
/SUM(_xlfn._xlws.FILTER(_xlfn._xlws.FILTER(Courses!$B$2:$M$46, IF(NOT(ISERROR(SEARCH(LEFT(B22,FIND(" ",B22)-1), Courses!$B$2:$B$46, 1))), TRUE, FALSE)), {0,0,0,1,0,0,0,0,0,0,0,0})), 0.5)</f>
        <v>9</v>
      </c>
      <c r="H22" s="1">
        <f t="shared" si="0"/>
        <v>0.45</v>
      </c>
      <c r="I22" s="1" cm="1">
        <f t="array" ref="I22">MROUND(SUMPRODUCT(
_xlfn._xlws.FILTER(_xlfn._xlws.FILTER(Courses!$B$2:$M$46, IF(NOT(ISERROR(SEARCH(LEFT(B22,FIND(" ",B22)-1), Courses!$B$2:$B$46, 1))), TRUE, FALSE)), {0,0,0,0,0,0,0,0,0,1,0,0}),
_xlfn._xlws.FILTER(_xlfn._xlws.FILTER(Courses!$B$2:$M$46, IF(NOT(ISERROR(SEARCH(LEFT(B22,FIND(" ",B22)-1), Courses!$B$2:$B$46, 1))), TRUE, FALSE)), {0,0,0,1,0,0,0,0,0,0,0,0}))
/SUM(_xlfn._xlws.FILTER(_xlfn._xlws.FILTER(Courses!$B$2:$M$46, IF(NOT(ISERROR(SEARCH(LEFT(B22,FIND(" ",B22)-1), Courses!$B$2:$B$46, 1))), TRUE, FALSE)), {0,0,0,1,0,0,0,0,0,0,0,0})), 0.5)</f>
        <v>7</v>
      </c>
      <c r="J22" s="1">
        <f t="shared" si="1"/>
        <v>0.35</v>
      </c>
    </row>
    <row r="23" spans="2:10" x14ac:dyDescent="0.25">
      <c r="B23" s="1" t="s">
        <v>22</v>
      </c>
      <c r="C23" s="19" cm="1">
        <f t="array" ref="C23">MROUND(SUMPRODUCT(_xlfn._xlws.FILTER(_xlfn._xlws.FILTER(Courses!$B$2:$E$46, IF(NOT(ISERROR(SEARCH(LEFT(B23,FIND(" ",B23)-1), Courses!$B$2:$B$46, 1))), TRUE, FALSE)), {0,0,1,0}), _xlfn._xlws.FILTER(_xlfn._xlws.FILTER(Courses!$B$2:$E$46, IF(NOT(ISERROR(SEARCH(LEFT(B23,FIND(" ",B23)-1), Courses!$B$2:$B$46, 1))), TRUE, FALSE)), {0,0,0,1}))/SUM(_xlfn._xlws.FILTER(_xlfn._xlws.FILTER(Courses!$B$2:$E$46, IF(NOT(ISERROR(SEARCH(LEFT(B23,FIND(" ",B23)-1), Courses!$B$2:$B$46, 1))), TRUE, FALSE)), {0,0,0,1})), 0.5)</f>
        <v>0</v>
      </c>
      <c r="D23" s="1" cm="1">
        <f t="array" ref="D23">SUM(_xlfn._xlws.FILTER(_xlfn._xlws.FILTER(Courses!$B$2:$E$46, IF(NOT(ISERROR(SEARCH(LEFT(B23,FIND(" ",B23)-1), Courses!$B$2:$B$46, 1))), TRUE, FALSE)), {0,0,0,1}))</f>
        <v>2</v>
      </c>
      <c r="E23" s="16" t="str" cm="1">
        <f t="array" ref="E23">_xlfn.XLOOKUP(1, --ISNUMBER(SEARCH(LEFT(B23,FIND(" ",B23)-1), Courses!$B$2:$B$46)), Courses!$M$2:$M$46, "no match")</f>
        <v>Minor</v>
      </c>
      <c r="F23" s="1" t="b" cm="1">
        <f t="array" ref="F23">AND(AND(_xlfn._xlws.FILTER(_xlfn._xlws.FILTER(Courses!$B$2:$N$46,IF(NOT(ISERROR(SEARCH(LEFT(B23,FIND(" ",B23)-1),Courses!$B$2:$B$46,1))),TRUE,FALSE)),{0,0,0,0,0,0,0,0,0,0,0,0,1})), C23&gt;5.99)</f>
        <v>0</v>
      </c>
      <c r="G23" s="1" cm="1">
        <f t="array" ref="G23">MROUND(SUMPRODUCT(
_xlfn._xlws.FILTER(_xlfn._xlws.FILTER(Courses!$B$2:$M$46, IF(NOT(ISERROR(SEARCH(LEFT(B23,FIND(" ",B23)-1), Courses!$B$2:$B$46, 1))), TRUE, FALSE)), {0,0,0,0,0,0,0,1,0,0,0,0}),
_xlfn._xlws.FILTER(_xlfn._xlws.FILTER(Courses!$B$2:$M$46, IF(NOT(ISERROR(SEARCH(LEFT(B23,FIND(" ",B23)-1), Courses!$B$2:$B$46, 1))), TRUE, FALSE)), {0,0,0,1,0,0,0,0,0,0,0,0}))
/SUM(_xlfn._xlws.FILTER(_xlfn._xlws.FILTER(Courses!$B$2:$M$46, IF(NOT(ISERROR(SEARCH(LEFT(B23,FIND(" ",B23)-1), Courses!$B$2:$B$46, 1))), TRUE, FALSE)), {0,0,0,1,0,0,0,0,0,0,0,0})), 0.5)</f>
        <v>9</v>
      </c>
      <c r="H23" s="1">
        <f t="shared" si="0"/>
        <v>0.1</v>
      </c>
      <c r="I23" s="1" cm="1">
        <f t="array" ref="I23">MROUND(SUMPRODUCT(
_xlfn._xlws.FILTER(_xlfn._xlws.FILTER(Courses!$B$2:$M$46, IF(NOT(ISERROR(SEARCH(LEFT(B23,FIND(" ",B23)-1), Courses!$B$2:$B$46, 1))), TRUE, FALSE)), {0,0,0,0,0,0,0,0,0,1,0,0}),
_xlfn._xlws.FILTER(_xlfn._xlws.FILTER(Courses!$B$2:$M$46, IF(NOT(ISERROR(SEARCH(LEFT(B23,FIND(" ",B23)-1), Courses!$B$2:$B$46, 1))), TRUE, FALSE)), {0,0,0,1,0,0,0,0,0,0,0,0}))
/SUM(_xlfn._xlws.FILTER(_xlfn._xlws.FILTER(Courses!$B$2:$M$46, IF(NOT(ISERROR(SEARCH(LEFT(B23,FIND(" ",B23)-1), Courses!$B$2:$B$46, 1))), TRUE, FALSE)), {0,0,0,1,0,0,0,0,0,0,0,0})), 0.5)</f>
        <v>7</v>
      </c>
      <c r="J23" s="1">
        <f t="shared" si="1"/>
        <v>7.7777777777777779E-2</v>
      </c>
    </row>
    <row r="24" spans="2:10" x14ac:dyDescent="0.25">
      <c r="B24" s="1" t="s">
        <v>20</v>
      </c>
      <c r="C24" s="19" cm="1">
        <f t="array" ref="C24">MROUND(SUMPRODUCT(_xlfn._xlws.FILTER(_xlfn._xlws.FILTER(Courses!$B$2:$E$46, IF(NOT(ISERROR(SEARCH(LEFT(B24,FIND(" ",B24)-1), Courses!$B$2:$B$46, 1))), TRUE, FALSE)), {0,0,1,0}), _xlfn._xlws.FILTER(_xlfn._xlws.FILTER(Courses!$B$2:$E$46, IF(NOT(ISERROR(SEARCH(LEFT(B24,FIND(" ",B24)-1), Courses!$B$2:$B$46, 1))), TRUE, FALSE)), {0,0,0,1}))/SUM(_xlfn._xlws.FILTER(_xlfn._xlws.FILTER(Courses!$B$2:$E$46, IF(NOT(ISERROR(SEARCH(LEFT(B24,FIND(" ",B24)-1), Courses!$B$2:$B$46, 1))), TRUE, FALSE)), {0,0,0,1})), 0.5)</f>
        <v>0</v>
      </c>
      <c r="D24" s="1" cm="1">
        <f t="array" ref="D24">SUM(_xlfn._xlws.FILTER(_xlfn._xlws.FILTER(Courses!$B$2:$E$46, IF(NOT(ISERROR(SEARCH(LEFT(B24,FIND(" ",B24)-1), Courses!$B$2:$B$46, 1))), TRUE, FALSE)), {0,0,0,1}))</f>
        <v>4</v>
      </c>
      <c r="E24" s="16" t="str" cm="1">
        <f t="array" ref="E24">_xlfn.XLOOKUP(1, --ISNUMBER(SEARCH(LEFT(B24,FIND(" ",B24)-1), Courses!$B$2:$B$46)), Courses!$M$2:$M$46, "no match")</f>
        <v>Minor</v>
      </c>
      <c r="F24" s="1" t="b" cm="1">
        <f t="array" ref="F24">AND(AND(_xlfn._xlws.FILTER(_xlfn._xlws.FILTER(Courses!$B$2:$N$46,IF(NOT(ISERROR(SEARCH(LEFT(B24,FIND(" ",B24)-1),Courses!$B$2:$B$46,1))),TRUE,FALSE)),{0,0,0,0,0,0,0,0,0,0,0,0,1})), C24&gt;5.99)</f>
        <v>0</v>
      </c>
      <c r="G24" s="1" cm="1">
        <f t="array" ref="G24">MROUND(SUMPRODUCT(
_xlfn._xlws.FILTER(_xlfn._xlws.FILTER(Courses!$B$2:$M$46, IF(NOT(ISERROR(SEARCH(LEFT(B24,FIND(" ",B24)-1), Courses!$B$2:$B$46, 1))), TRUE, FALSE)), {0,0,0,0,0,0,0,1,0,0,0,0}),
_xlfn._xlws.FILTER(_xlfn._xlws.FILTER(Courses!$B$2:$M$46, IF(NOT(ISERROR(SEARCH(LEFT(B24,FIND(" ",B24)-1), Courses!$B$2:$B$46, 1))), TRUE, FALSE)), {0,0,0,1,0,0,0,0,0,0,0,0}))
/SUM(_xlfn._xlws.FILTER(_xlfn._xlws.FILTER(Courses!$B$2:$M$46, IF(NOT(ISERROR(SEARCH(LEFT(B24,FIND(" ",B24)-1), Courses!$B$2:$B$46, 1))), TRUE, FALSE)), {0,0,0,1,0,0,0,0,0,0,0,0})), 0.5)</f>
        <v>9</v>
      </c>
      <c r="H24" s="1">
        <f t="shared" si="0"/>
        <v>0.2</v>
      </c>
      <c r="I24" s="1" cm="1">
        <f t="array" ref="I24">MROUND(SUMPRODUCT(
_xlfn._xlws.FILTER(_xlfn._xlws.FILTER(Courses!$B$2:$M$46, IF(NOT(ISERROR(SEARCH(LEFT(B24,FIND(" ",B24)-1), Courses!$B$2:$B$46, 1))), TRUE, FALSE)), {0,0,0,0,0,0,0,0,0,1,0,0}),
_xlfn._xlws.FILTER(_xlfn._xlws.FILTER(Courses!$B$2:$M$46, IF(NOT(ISERROR(SEARCH(LEFT(B24,FIND(" ",B24)-1), Courses!$B$2:$B$46, 1))), TRUE, FALSE)), {0,0,0,1,0,0,0,0,0,0,0,0}))
/SUM(_xlfn._xlws.FILTER(_xlfn._xlws.FILTER(Courses!$B$2:$M$46, IF(NOT(ISERROR(SEARCH(LEFT(B24,FIND(" ",B24)-1), Courses!$B$2:$B$46, 1))), TRUE, FALSE)), {0,0,0,1,0,0,0,0,0,0,0,0})), 0.5)</f>
        <v>7</v>
      </c>
      <c r="J24" s="1">
        <f t="shared" si="1"/>
        <v>0.15555555555555556</v>
      </c>
    </row>
    <row r="25" spans="2:10" x14ac:dyDescent="0.25">
      <c r="B25" s="1" t="s">
        <v>0</v>
      </c>
      <c r="C25" s="19" cm="1">
        <f t="array" ref="C25">MROUND(SUMPRODUCT(_xlfn._xlws.FILTER(_xlfn._xlws.FILTER(Courses!$B$2:$E$46, IF(NOT(ISERROR(SEARCH(LEFT(B25,FIND(" ",B25)-1), Courses!$B$2:$B$46, 1))), TRUE, FALSE)), {0,0,1,0}), _xlfn._xlws.FILTER(_xlfn._xlws.FILTER(Courses!$B$2:$E$46, IF(NOT(ISERROR(SEARCH(LEFT(B25,FIND(" ",B25)-1), Courses!$B$2:$B$46, 1))), TRUE, FALSE)), {0,0,0,1}))/SUM(_xlfn._xlws.FILTER(_xlfn._xlws.FILTER(Courses!$B$2:$E$46, IF(NOT(ISERROR(SEARCH(LEFT(B25,FIND(" ",B25)-1), Courses!$B$2:$B$46, 1))), TRUE, FALSE)), {0,0,0,1})), 0.5)</f>
        <v>0</v>
      </c>
      <c r="D25" s="1" cm="1">
        <f t="array" ref="D25">SUM(_xlfn._xlws.FILTER(_xlfn._xlws.FILTER(Courses!$B$2:$E$46, IF(NOT(ISERROR(SEARCH(LEFT(B25,FIND(" ",B25)-1), Courses!$B$2:$B$46, 1))), TRUE, FALSE)), {0,0,0,1}))</f>
        <v>15</v>
      </c>
      <c r="E25" s="16" t="str" cm="1">
        <f t="array" ref="E25">_xlfn.XLOOKUP(1, --ISNUMBER(SEARCH(LEFT(B25,FIND(" ",B25)-1), Courses!$B$2:$B$46)), Courses!$M$2:$M$46, "no match")</f>
        <v>Minor</v>
      </c>
      <c r="F25" s="1" t="b" cm="1">
        <f t="array" ref="F25">AND(AND(_xlfn._xlws.FILTER(_xlfn._xlws.FILTER(Courses!$B$2:$N$46,IF(NOT(ISERROR(SEARCH(LEFT(B25,FIND(" ",B25)-1),Courses!$B$2:$B$46,1))),TRUE,FALSE)),{0,0,0,0,0,0,0,0,0,0,0,0,1})), C25&gt;5.99)</f>
        <v>0</v>
      </c>
      <c r="G25" s="1" cm="1">
        <f t="array" ref="G25">MROUND(SUMPRODUCT(
_xlfn._xlws.FILTER(_xlfn._xlws.FILTER(Courses!$B$2:$M$46, IF(NOT(ISERROR(SEARCH(LEFT(B25,FIND(" ",B25)-1), Courses!$B$2:$B$46, 1))), TRUE, FALSE)), {0,0,0,0,0,0,0,1,0,0,0,0}),
_xlfn._xlws.FILTER(_xlfn._xlws.FILTER(Courses!$B$2:$M$46, IF(NOT(ISERROR(SEARCH(LEFT(B25,FIND(" ",B25)-1), Courses!$B$2:$B$46, 1))), TRUE, FALSE)), {0,0,0,1,0,0,0,0,0,0,0,0}))
/SUM(_xlfn._xlws.FILTER(_xlfn._xlws.FILTER(Courses!$B$2:$M$46, IF(NOT(ISERROR(SEARCH(LEFT(B25,FIND(" ",B25)-1), Courses!$B$2:$B$46, 1))), TRUE, FALSE)), {0,0,0,1,0,0,0,0,0,0,0,0})), 0.5)</f>
        <v>9</v>
      </c>
      <c r="H25" s="1">
        <f t="shared" si="0"/>
        <v>0.75</v>
      </c>
      <c r="I25" s="1" cm="1">
        <f t="array" ref="I25">MROUND(SUMPRODUCT(
_xlfn._xlws.FILTER(_xlfn._xlws.FILTER(Courses!$B$2:$M$46, IF(NOT(ISERROR(SEARCH(LEFT(B25,FIND(" ",B25)-1), Courses!$B$2:$B$46, 1))), TRUE, FALSE)), {0,0,0,0,0,0,0,0,0,1,0,0}),
_xlfn._xlws.FILTER(_xlfn._xlws.FILTER(Courses!$B$2:$M$46, IF(NOT(ISERROR(SEARCH(LEFT(B25,FIND(" ",B25)-1), Courses!$B$2:$B$46, 1))), TRUE, FALSE)), {0,0,0,1,0,0,0,0,0,0,0,0}))
/SUM(_xlfn._xlws.FILTER(_xlfn._xlws.FILTER(Courses!$B$2:$M$46, IF(NOT(ISERROR(SEARCH(LEFT(B25,FIND(" ",B25)-1), Courses!$B$2:$B$46, 1))), TRUE, FALSE)), {0,0,0,1,0,0,0,0,0,0,0,0})), 0.5)</f>
        <v>7</v>
      </c>
      <c r="J25" s="1">
        <f t="shared" si="1"/>
        <v>0.58333333333333337</v>
      </c>
    </row>
    <row r="26" spans="2:10" x14ac:dyDescent="0.25">
      <c r="B26" s="1" t="s">
        <v>24</v>
      </c>
      <c r="C26" s="19" cm="1">
        <f t="array" ref="C26">MROUND(SUMPRODUCT(_xlfn._xlws.FILTER(_xlfn._xlws.FILTER(Courses!$B$2:$E$46, IF(NOT(ISERROR(SEARCH(LEFT(B26,FIND(" ",B26)-1), Courses!$B$2:$B$46, 1))), TRUE, FALSE)), {0,0,1,0}), _xlfn._xlws.FILTER(_xlfn._xlws.FILTER(Courses!$B$2:$E$46, IF(NOT(ISERROR(SEARCH(LEFT(B26,FIND(" ",B26)-1), Courses!$B$2:$B$46, 1))), TRUE, FALSE)), {0,0,0,1}))/SUM(_xlfn._xlws.FILTER(_xlfn._xlws.FILTER(Courses!$B$2:$E$46, IF(NOT(ISERROR(SEARCH(LEFT(B26,FIND(" ",B26)-1), Courses!$B$2:$B$46, 1))), TRUE, FALSE)), {0,0,0,1})), 0.5)</f>
        <v>0</v>
      </c>
      <c r="D26" s="1" cm="1">
        <f t="array" ref="D26">SUM(_xlfn._xlws.FILTER(_xlfn._xlws.FILTER(Courses!$B$2:$E$46, IF(NOT(ISERROR(SEARCH(LEFT(B26,FIND(" ",B26)-1), Courses!$B$2:$B$46, 1))), TRUE, FALSE)), {0,0,0,1}))</f>
        <v>1</v>
      </c>
      <c r="E26" s="16" t="str" cm="1">
        <f t="array" ref="E26">_xlfn.XLOOKUP(1, --ISNUMBER(SEARCH(LEFT(B26,FIND(" ",B26)-1), Courses!$B$2:$B$46)), Courses!$M$2:$M$46, "no match")</f>
        <v>Minor</v>
      </c>
      <c r="F26" s="1" t="b" cm="1">
        <f t="array" ref="F26">AND(AND(_xlfn._xlws.FILTER(_xlfn._xlws.FILTER(Courses!$B$2:$N$46,IF(NOT(ISERROR(SEARCH(LEFT(B26,FIND(" ",B26)-1),Courses!$B$2:$B$46,1))),TRUE,FALSE)),{0,0,0,0,0,0,0,0,0,0,0,0,1})), C26&gt;5.99)</f>
        <v>0</v>
      </c>
      <c r="G26" s="1" cm="1">
        <f t="array" ref="G26">MROUND(SUMPRODUCT(
_xlfn._xlws.FILTER(_xlfn._xlws.FILTER(Courses!$B$2:$M$46, IF(NOT(ISERROR(SEARCH(LEFT(B26,FIND(" ",B26)-1), Courses!$B$2:$B$46, 1))), TRUE, FALSE)), {0,0,0,0,0,0,0,1,0,0,0,0}),
_xlfn._xlws.FILTER(_xlfn._xlws.FILTER(Courses!$B$2:$M$46, IF(NOT(ISERROR(SEARCH(LEFT(B26,FIND(" ",B26)-1), Courses!$B$2:$B$46, 1))), TRUE, FALSE)), {0,0,0,1,0,0,0,0,0,0,0,0}))
/SUM(_xlfn._xlws.FILTER(_xlfn._xlws.FILTER(Courses!$B$2:$M$46, IF(NOT(ISERROR(SEARCH(LEFT(B26,FIND(" ",B26)-1), Courses!$B$2:$B$46, 1))), TRUE, FALSE)), {0,0,0,1,0,0,0,0,0,0,0,0})), 0.5)</f>
        <v>9</v>
      </c>
      <c r="H26" s="1">
        <f t="shared" si="0"/>
        <v>0.05</v>
      </c>
      <c r="I26" s="1" cm="1">
        <f t="array" ref="I26">MROUND(SUMPRODUCT(
_xlfn._xlws.FILTER(_xlfn._xlws.FILTER(Courses!$B$2:$M$46, IF(NOT(ISERROR(SEARCH(LEFT(B26,FIND(" ",B26)-1), Courses!$B$2:$B$46, 1))), TRUE, FALSE)), {0,0,0,0,0,0,0,0,0,1,0,0}),
_xlfn._xlws.FILTER(_xlfn._xlws.FILTER(Courses!$B$2:$M$46, IF(NOT(ISERROR(SEARCH(LEFT(B26,FIND(" ",B26)-1), Courses!$B$2:$B$46, 1))), TRUE, FALSE)), {0,0,0,1,0,0,0,0,0,0,0,0}))
/SUM(_xlfn._xlws.FILTER(_xlfn._xlws.FILTER(Courses!$B$2:$M$46, IF(NOT(ISERROR(SEARCH(LEFT(B26,FIND(" ",B26)-1), Courses!$B$2:$B$46, 1))), TRUE, FALSE)), {0,0,0,1,0,0,0,0,0,0,0,0})), 0.5)</f>
        <v>7</v>
      </c>
      <c r="J26" s="1">
        <f t="shared" si="1"/>
        <v>3.888888888888889E-2</v>
      </c>
    </row>
    <row r="27" spans="2:10" x14ac:dyDescent="0.25">
      <c r="B27" s="1" t="s">
        <v>16</v>
      </c>
      <c r="C27" s="19" cm="1">
        <f t="array" ref="C27">MROUND(SUMPRODUCT(_xlfn._xlws.FILTER(_xlfn._xlws.FILTER(Courses!$B$2:$E$46, IF(NOT(ISERROR(SEARCH(LEFT(B27,FIND(" ",B27)-1), Courses!$B$2:$B$46, 1))), TRUE, FALSE)), {0,0,1,0}), _xlfn._xlws.FILTER(_xlfn._xlws.FILTER(Courses!$B$2:$E$46, IF(NOT(ISERROR(SEARCH(LEFT(B27,FIND(" ",B27)-1), Courses!$B$2:$B$46, 1))), TRUE, FALSE)), {0,0,0,1}))/SUM(_xlfn._xlws.FILTER(_xlfn._xlws.FILTER(Courses!$B$2:$E$46, IF(NOT(ISERROR(SEARCH(LEFT(B27,FIND(" ",B27)-1), Courses!$B$2:$B$46, 1))), TRUE, FALSE)), {0,0,0,1})), 0.5)</f>
        <v>0</v>
      </c>
      <c r="D27" s="1" cm="1">
        <f t="array" ref="D27">SUM(_xlfn._xlws.FILTER(_xlfn._xlws.FILTER(Courses!$B$2:$E$46, IF(NOT(ISERROR(SEARCH(LEFT(B27,FIND(" ",B27)-1), Courses!$B$2:$B$46, 1))), TRUE, FALSE)), {0,0,0,1}))</f>
        <v>5</v>
      </c>
      <c r="E27" s="16" t="str" cm="1">
        <f t="array" ref="E27">_xlfn.XLOOKUP(1, --ISNUMBER(SEARCH(LEFT(B27,FIND(" ",B27)-1), Courses!$B$2:$B$46)), Courses!$M$2:$M$46, "no match")</f>
        <v>Minor</v>
      </c>
      <c r="F27" s="1" t="b" cm="1">
        <f t="array" ref="F27">AND(AND(_xlfn._xlws.FILTER(_xlfn._xlws.FILTER(Courses!$B$2:$N$46,IF(NOT(ISERROR(SEARCH(LEFT(B27,FIND(" ",B27)-1),Courses!$B$2:$B$46,1))),TRUE,FALSE)),{0,0,0,0,0,0,0,0,0,0,0,0,1})), C27&gt;5.99)</f>
        <v>0</v>
      </c>
      <c r="G27" s="1" cm="1">
        <f t="array" ref="G27">MROUND(SUMPRODUCT(
_xlfn._xlws.FILTER(_xlfn._xlws.FILTER(Courses!$B$2:$M$46, IF(NOT(ISERROR(SEARCH(LEFT(B27,FIND(" ",B27)-1), Courses!$B$2:$B$46, 1))), TRUE, FALSE)), {0,0,0,0,0,0,0,1,0,0,0,0}),
_xlfn._xlws.FILTER(_xlfn._xlws.FILTER(Courses!$B$2:$M$46, IF(NOT(ISERROR(SEARCH(LEFT(B27,FIND(" ",B27)-1), Courses!$B$2:$B$46, 1))), TRUE, FALSE)), {0,0,0,1,0,0,0,0,0,0,0,0}))
/SUM(_xlfn._xlws.FILTER(_xlfn._xlws.FILTER(Courses!$B$2:$M$46, IF(NOT(ISERROR(SEARCH(LEFT(B27,FIND(" ",B27)-1), Courses!$B$2:$B$46, 1))), TRUE, FALSE)), {0,0,0,1,0,0,0,0,0,0,0,0})), 0.5)</f>
        <v>9</v>
      </c>
      <c r="H27" s="1">
        <f t="shared" si="0"/>
        <v>0.25</v>
      </c>
      <c r="I27" s="1" cm="1">
        <f t="array" ref="I27">MROUND(SUMPRODUCT(
_xlfn._xlws.FILTER(_xlfn._xlws.FILTER(Courses!$B$2:$M$46, IF(NOT(ISERROR(SEARCH(LEFT(B27,FIND(" ",B27)-1), Courses!$B$2:$B$46, 1))), TRUE, FALSE)), {0,0,0,0,0,0,0,0,0,1,0,0}),
_xlfn._xlws.FILTER(_xlfn._xlws.FILTER(Courses!$B$2:$M$46, IF(NOT(ISERROR(SEARCH(LEFT(B27,FIND(" ",B27)-1), Courses!$B$2:$B$46, 1))), TRUE, FALSE)), {0,0,0,1,0,0,0,0,0,0,0,0}))
/SUM(_xlfn._xlws.FILTER(_xlfn._xlws.FILTER(Courses!$B$2:$M$46, IF(NOT(ISERROR(SEARCH(LEFT(B27,FIND(" ",B27)-1), Courses!$B$2:$B$46, 1))), TRUE, FALSE)), {0,0,0,1,0,0,0,0,0,0,0,0})), 0.5)</f>
        <v>7</v>
      </c>
      <c r="J27" s="1">
        <f t="shared" si="1"/>
        <v>0.19444444444444445</v>
      </c>
    </row>
    <row r="28" spans="2:10" x14ac:dyDescent="0.25">
      <c r="B28" s="1" t="s">
        <v>21</v>
      </c>
      <c r="C28" s="19" cm="1">
        <f t="array" ref="C28">MROUND(SUMPRODUCT(_xlfn._xlws.FILTER(_xlfn._xlws.FILTER(Courses!$B$2:$E$46, IF(NOT(ISERROR(SEARCH(LEFT(B28,FIND(" ",B28)-1), Courses!$B$2:$B$46, 1))), TRUE, FALSE)), {0,0,1,0}), _xlfn._xlws.FILTER(_xlfn._xlws.FILTER(Courses!$B$2:$E$46, IF(NOT(ISERROR(SEARCH(LEFT(B28,FIND(" ",B28)-1), Courses!$B$2:$B$46, 1))), TRUE, FALSE)), {0,0,0,1}))/SUM(_xlfn._xlws.FILTER(_xlfn._xlws.FILTER(Courses!$B$2:$E$46, IF(NOT(ISERROR(SEARCH(LEFT(B28,FIND(" ",B28)-1), Courses!$B$2:$B$46, 1))), TRUE, FALSE)), {0,0,0,1})), 0.5)</f>
        <v>0</v>
      </c>
      <c r="D28" s="1" cm="1">
        <f t="array" ref="D28">SUM(_xlfn._xlws.FILTER(_xlfn._xlws.FILTER(Courses!$B$2:$E$46, IF(NOT(ISERROR(SEARCH(LEFT(B28,FIND(" ",B28)-1), Courses!$B$2:$B$46, 1))), TRUE, FALSE)), {0,0,0,1}))</f>
        <v>3</v>
      </c>
      <c r="E28" s="16" t="str" cm="1">
        <f t="array" ref="E28">_xlfn.XLOOKUP(1, --ISNUMBER(SEARCH(LEFT(B28,FIND(" ",B28)-1), Courses!$B$2:$B$46)), Courses!$M$2:$M$46, "no match")</f>
        <v>Minor</v>
      </c>
      <c r="F28" s="1" t="b" cm="1">
        <f t="array" ref="F28">AND(AND(_xlfn._xlws.FILTER(_xlfn._xlws.FILTER(Courses!$B$2:$N$46,IF(NOT(ISERROR(SEARCH(LEFT(B28,FIND(" ",B28)-1),Courses!$B$2:$B$46,1))),TRUE,FALSE)),{0,0,0,0,0,0,0,0,0,0,0,0,1})), C28&gt;5.99)</f>
        <v>0</v>
      </c>
      <c r="G28" s="1" cm="1">
        <f t="array" ref="G28">MROUND(SUMPRODUCT(
_xlfn._xlws.FILTER(_xlfn._xlws.FILTER(Courses!$B$2:$M$46, IF(NOT(ISERROR(SEARCH(LEFT(B28,FIND(" ",B28)-1), Courses!$B$2:$B$46, 1))), TRUE, FALSE)), {0,0,0,0,0,0,0,1,0,0,0,0}),
_xlfn._xlws.FILTER(_xlfn._xlws.FILTER(Courses!$B$2:$M$46, IF(NOT(ISERROR(SEARCH(LEFT(B28,FIND(" ",B28)-1), Courses!$B$2:$B$46, 1))), TRUE, FALSE)), {0,0,0,1,0,0,0,0,0,0,0,0}))
/SUM(_xlfn._xlws.FILTER(_xlfn._xlws.FILTER(Courses!$B$2:$M$46, IF(NOT(ISERROR(SEARCH(LEFT(B28,FIND(" ",B28)-1), Courses!$B$2:$B$46, 1))), TRUE, FALSE)), {0,0,0,1,0,0,0,0,0,0,0,0})), 0.5)</f>
        <v>9</v>
      </c>
      <c r="H28" s="1">
        <f t="shared" si="0"/>
        <v>0.15</v>
      </c>
      <c r="I28" s="1" cm="1">
        <f t="array" ref="I28">MROUND(SUMPRODUCT(
_xlfn._xlws.FILTER(_xlfn._xlws.FILTER(Courses!$B$2:$M$46, IF(NOT(ISERROR(SEARCH(LEFT(B28,FIND(" ",B28)-1), Courses!$B$2:$B$46, 1))), TRUE, FALSE)), {0,0,0,0,0,0,0,0,0,1,0,0}),
_xlfn._xlws.FILTER(_xlfn._xlws.FILTER(Courses!$B$2:$M$46, IF(NOT(ISERROR(SEARCH(LEFT(B28,FIND(" ",B28)-1), Courses!$B$2:$B$46, 1))), TRUE, FALSE)), {0,0,0,1,0,0,0,0,0,0,0,0}))
/SUM(_xlfn._xlws.FILTER(_xlfn._xlws.FILTER(Courses!$B$2:$M$46, IF(NOT(ISERROR(SEARCH(LEFT(B28,FIND(" ",B28)-1), Courses!$B$2:$B$46, 1))), TRUE, FALSE)), {0,0,0,1,0,0,0,0,0,0,0,0})), 0.5)</f>
        <v>7</v>
      </c>
      <c r="J28" s="1">
        <f t="shared" si="1"/>
        <v>0.11666666666666667</v>
      </c>
    </row>
  </sheetData>
  <sortState xmlns:xlrd2="http://schemas.microsoft.com/office/spreadsheetml/2017/richdata2" ref="B2:J28">
    <sortCondition ref="E2:E28"/>
  </sortState>
  <conditionalFormatting sqref="E2:E28">
    <cfRule type="expression" dxfId="28" priority="4">
      <formula>$E2="Minor"</formula>
    </cfRule>
    <cfRule type="expression" dxfId="27" priority="5">
      <formula>$E2=1</formula>
    </cfRule>
    <cfRule type="expression" dxfId="26" priority="6">
      <formula>$E2=2</formula>
    </cfRule>
    <cfRule type="expression" dxfId="25" priority="7">
      <formula>$E2=3</formula>
    </cfRule>
  </conditionalFormatting>
  <conditionalFormatting sqref="F2:F28">
    <cfRule type="expression" dxfId="24" priority="2">
      <formula>F2=FALSE</formula>
    </cfRule>
    <cfRule type="expression" dxfId="23" priority="3">
      <formula>F2=TRUE</formula>
    </cfRule>
  </conditionalFormatting>
  <conditionalFormatting sqref="B2:C28">
    <cfRule type="expression" dxfId="22" priority="1">
      <formula>$F2=FALSE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 - Quarter</vt:lpstr>
      <vt:lpstr>Dashboard - Exams</vt:lpstr>
      <vt:lpstr>Courses</vt:lpstr>
      <vt:lpstr>Modules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Lopez Rivera</dc:creator>
  <cp:lastModifiedBy>Antonio Lopez Rivera</cp:lastModifiedBy>
  <dcterms:created xsi:type="dcterms:W3CDTF">2015-06-05T18:17:20Z</dcterms:created>
  <dcterms:modified xsi:type="dcterms:W3CDTF">2021-05-18T21:02:38Z</dcterms:modified>
</cp:coreProperties>
</file>