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D71581D2-3260-43D4-BA2B-DF550ECAB260}" xr6:coauthVersionLast="46" xr6:coauthVersionMax="46" xr10:uidLastSave="{00000000-0000-0000-0000-000000000000}"/>
  <bookViews>
    <workbookView xWindow="25974" yWindow="-2078" windowWidth="34071" windowHeight="19779" activeTab="1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" i="1"/>
  <c r="B13" i="5" l="1" a="1"/>
  <c r="B13" i="5" s="1"/>
  <c r="B43" i="5" a="1"/>
  <c r="B43" i="5" s="1"/>
  <c r="J13" i="5" a="1"/>
  <c r="J13" i="5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K2" i="1"/>
  <c r="I2" i="1" l="1"/>
  <c r="E7" i="14" l="1"/>
  <c r="E6" i="14"/>
  <c r="F19" i="1" l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I21" i="2" s="1" a="1"/>
  <c r="I21" i="2" s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N17" i="1"/>
  <c r="N16" i="1"/>
  <c r="N35" i="1"/>
  <c r="N46" i="1"/>
  <c r="N45" i="1"/>
  <c r="N44" i="1"/>
  <c r="N34" i="1"/>
  <c r="N33" i="1"/>
  <c r="N15" i="1"/>
  <c r="N14" i="1"/>
  <c r="N32" i="1"/>
  <c r="N31" i="1"/>
  <c r="N43" i="1"/>
  <c r="N42" i="1"/>
  <c r="N30" i="1"/>
  <c r="N29" i="1"/>
  <c r="N41" i="1"/>
  <c r="N13" i="1"/>
  <c r="N28" i="1"/>
  <c r="N12" i="1"/>
  <c r="N11" i="1"/>
  <c r="N10" i="1"/>
  <c r="N27" i="1"/>
  <c r="N40" i="1"/>
  <c r="N9" i="1"/>
  <c r="N8" i="1"/>
  <c r="N7" i="1"/>
  <c r="N26" i="1"/>
  <c r="N25" i="1"/>
  <c r="N24" i="1"/>
  <c r="N39" i="1"/>
  <c r="N38" i="1"/>
  <c r="N37" i="1"/>
  <c r="N36" i="1"/>
  <c r="N6" i="1"/>
  <c r="N5" i="1"/>
  <c r="N23" i="1"/>
  <c r="N22" i="1"/>
  <c r="N21" i="1"/>
  <c r="N4" i="1"/>
  <c r="N20" i="1"/>
  <c r="N3" i="1"/>
  <c r="N19" i="1"/>
  <c r="N2" i="1"/>
  <c r="N18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F3" i="2" s="1" a="1"/>
  <c r="F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I3" i="2" l="1" a="1"/>
  <c r="I3" i="2" s="1"/>
  <c r="J3" i="2" s="1"/>
  <c r="G3" i="2" a="1"/>
  <c r="G3" i="2" s="1"/>
  <c r="H3" i="2" s="1"/>
  <c r="I14" i="2" a="1"/>
  <c r="I14" i="2" s="1"/>
  <c r="I23" i="2" a="1"/>
  <c r="I23" i="2" s="1"/>
  <c r="I20" i="2" a="1"/>
  <c r="I20" i="2" s="1"/>
  <c r="J20" i="2" s="1"/>
  <c r="I7" i="2" a="1"/>
  <c r="I7" i="2" s="1"/>
  <c r="I12" i="2" a="1"/>
  <c r="I12" i="2" s="1"/>
  <c r="J12" i="2" s="1"/>
  <c r="I26" i="2" a="1"/>
  <c r="I26" i="2" s="1"/>
  <c r="G12" i="2" a="1"/>
  <c r="G12" i="2" s="1"/>
  <c r="H12" i="2" s="1"/>
  <c r="F20" i="2" a="1"/>
  <c r="F20" i="2" s="1"/>
  <c r="G20" i="2" a="1"/>
  <c r="G20" i="2" s="1"/>
  <c r="H20" i="2" s="1"/>
  <c r="G21" i="2" a="1"/>
  <c r="G21" i="2" s="1"/>
  <c r="H21" i="2" s="1"/>
  <c r="J21" i="2"/>
  <c r="F21" i="2" a="1"/>
  <c r="F21" i="2" s="1"/>
  <c r="I6" i="2" a="1"/>
  <c r="I6" i="2" s="1"/>
  <c r="I2" i="2" a="1"/>
  <c r="I2" i="2" s="1"/>
  <c r="I24" i="2" a="1"/>
  <c r="I24" i="2" s="1"/>
  <c r="I22" i="2" a="1"/>
  <c r="I22" i="2" s="1"/>
  <c r="I9" i="2" a="1"/>
  <c r="I9" i="2" s="1"/>
  <c r="I25" i="2" a="1"/>
  <c r="I25" i="2" s="1"/>
  <c r="J30" i="5" a="1"/>
  <c r="J30" i="5" s="1"/>
  <c r="I17" i="2" a="1"/>
  <c r="I17" i="2" s="1"/>
  <c r="I28" i="2" a="1"/>
  <c r="I28" i="2" s="1"/>
  <c r="I8" i="2" a="1"/>
  <c r="I8" i="2" s="1"/>
  <c r="I16" i="2" a="1"/>
  <c r="I16" i="2" s="1"/>
  <c r="I27" i="2" a="1"/>
  <c r="I27" i="2" s="1"/>
  <c r="G13" i="2" a="1"/>
  <c r="G13" i="2" s="1"/>
  <c r="H13" i="2" s="1"/>
  <c r="I4" i="2" a="1"/>
  <c r="I4" i="2" s="1"/>
  <c r="F12" i="2" a="1"/>
  <c r="F12" i="2" s="1"/>
  <c r="I18" i="2" a="1"/>
  <c r="I18" i="2" s="1"/>
  <c r="I15" i="2" a="1"/>
  <c r="I15" i="2" s="1"/>
  <c r="I19" i="2" a="1"/>
  <c r="I19" i="2" s="1"/>
  <c r="I10" i="2" a="1"/>
  <c r="I10" i="2" s="1"/>
  <c r="I11" i="2" l="1" a="1"/>
  <c r="I11" i="2" s="1"/>
  <c r="J11" i="2" s="1"/>
  <c r="B30" i="5" a="1"/>
  <c r="B30" i="5" s="1"/>
  <c r="F13" i="2" a="1"/>
  <c r="F13" i="2" s="1"/>
  <c r="I5" i="2" a="1"/>
  <c r="I5" i="2" s="1"/>
  <c r="J5" i="2" s="1"/>
  <c r="I13" i="2" a="1"/>
  <c r="I13" i="2" s="1"/>
  <c r="J13" i="2" s="1"/>
  <c r="J7" i="2"/>
  <c r="G7" i="2" a="1"/>
  <c r="G7" i="2" s="1"/>
  <c r="H7" i="2" s="1"/>
  <c r="F7" i="2" a="1"/>
  <c r="F7" i="2" s="1"/>
  <c r="J25" i="2"/>
  <c r="G25" i="2" a="1"/>
  <c r="G25" i="2" s="1"/>
  <c r="H25" i="2" s="1"/>
  <c r="F25" i="2" a="1"/>
  <c r="F25" i="2" s="1"/>
  <c r="G19" i="2" a="1"/>
  <c r="G19" i="2" s="1"/>
  <c r="H19" i="2" s="1"/>
  <c r="J19" i="2"/>
  <c r="F19" i="2" a="1"/>
  <c r="F19" i="2" s="1"/>
  <c r="F9" i="2" a="1"/>
  <c r="F9" i="2" s="1"/>
  <c r="G9" i="2" a="1"/>
  <c r="G9" i="2" s="1"/>
  <c r="H9" i="2" s="1"/>
  <c r="J9" i="2"/>
  <c r="F27" i="2" a="1"/>
  <c r="F27" i="2" s="1"/>
  <c r="J27" i="2"/>
  <c r="G27" i="2" a="1"/>
  <c r="G27" i="2" s="1"/>
  <c r="H27" i="2" s="1"/>
  <c r="G6" i="2" a="1"/>
  <c r="G6" i="2" s="1"/>
  <c r="H6" i="2" s="1"/>
  <c r="J6" i="2"/>
  <c r="F6" i="2" a="1"/>
  <c r="F6" i="2" s="1"/>
  <c r="F16" i="2" a="1"/>
  <c r="F16" i="2" s="1"/>
  <c r="J16" i="2"/>
  <c r="G16" i="2" a="1"/>
  <c r="G16" i="2" s="1"/>
  <c r="H16" i="2" s="1"/>
  <c r="G8" i="2" a="1"/>
  <c r="G8" i="2" s="1"/>
  <c r="H8" i="2" s="1"/>
  <c r="J8" i="2"/>
  <c r="F8" i="2" a="1"/>
  <c r="F8" i="2" s="1"/>
  <c r="F22" i="2" a="1"/>
  <c r="F22" i="2" s="1"/>
  <c r="G22" i="2" a="1"/>
  <c r="G22" i="2" s="1"/>
  <c r="H22" i="2" s="1"/>
  <c r="J22" i="2"/>
  <c r="J14" i="2"/>
  <c r="F14" i="2" a="1"/>
  <c r="F14" i="2" s="1"/>
  <c r="G14" i="2" a="1"/>
  <c r="G14" i="2" s="1"/>
  <c r="H14" i="2" s="1"/>
  <c r="F28" i="2" a="1"/>
  <c r="F28" i="2" s="1"/>
  <c r="G28" i="2" a="1"/>
  <c r="G28" i="2" s="1"/>
  <c r="H28" i="2" s="1"/>
  <c r="J28" i="2"/>
  <c r="F15" i="2" a="1"/>
  <c r="F15" i="2" s="1"/>
  <c r="J15" i="2"/>
  <c r="G15" i="2" a="1"/>
  <c r="G15" i="2" s="1"/>
  <c r="H15" i="2" s="1"/>
  <c r="F18" i="2" a="1"/>
  <c r="F18" i="2" s="1"/>
  <c r="G18" i="2" a="1"/>
  <c r="G18" i="2" s="1"/>
  <c r="H18" i="2" s="1"/>
  <c r="J18" i="2"/>
  <c r="G11" i="2" a="1"/>
  <c r="G11" i="2" s="1"/>
  <c r="H11" i="2" s="1"/>
  <c r="F11" i="2" a="1"/>
  <c r="F11" i="2" s="1"/>
  <c r="F17" i="2" a="1"/>
  <c r="F17" i="2" s="1"/>
  <c r="G17" i="2" a="1"/>
  <c r="G17" i="2" s="1"/>
  <c r="H17" i="2" s="1"/>
  <c r="J17" i="2"/>
  <c r="J4" i="2"/>
  <c r="F5" i="2" a="1"/>
  <c r="F5" i="2" s="1"/>
  <c r="G4" i="2" a="1"/>
  <c r="G4" i="2" s="1"/>
  <c r="H4" i="2" s="1"/>
  <c r="F4" i="2" a="1"/>
  <c r="F4" i="2" s="1"/>
  <c r="G5" i="2" a="1"/>
  <c r="G5" i="2" s="1"/>
  <c r="H5" i="2" s="1"/>
  <c r="J24" i="2"/>
  <c r="F24" i="2" a="1"/>
  <c r="F24" i="2" s="1"/>
  <c r="G24" i="2" a="1"/>
  <c r="G24" i="2" s="1"/>
  <c r="H24" i="2" s="1"/>
  <c r="F10" i="2" a="1"/>
  <c r="F10" i="2" s="1"/>
  <c r="G10" i="2" a="1"/>
  <c r="G10" i="2" s="1"/>
  <c r="H10" i="2" s="1"/>
  <c r="J10" i="2"/>
  <c r="F2" i="2" a="1"/>
  <c r="F2" i="2" s="1"/>
  <c r="J2" i="2"/>
  <c r="G2" i="2" a="1"/>
  <c r="G2" i="2" s="1"/>
  <c r="H2" i="2" s="1"/>
  <c r="F23" i="2" a="1"/>
  <c r="F23" i="2" s="1"/>
  <c r="G23" i="2" a="1"/>
  <c r="G23" i="2" s="1"/>
  <c r="H23" i="2" s="1"/>
  <c r="J23" i="2"/>
  <c r="F26" i="2" a="1"/>
  <c r="F26" i="2" s="1"/>
  <c r="G26" i="2" a="1"/>
  <c r="G26" i="2" s="1"/>
  <c r="H26" i="2" s="1"/>
  <c r="J26" i="2"/>
  <c r="C7" i="5" l="1" a="1"/>
  <c r="C7" i="5" s="1"/>
  <c r="C6" i="5" a="1"/>
  <c r="C6" i="5" s="1"/>
  <c r="C2" i="5"/>
  <c r="C3" i="5" a="1"/>
  <c r="C3" i="5" s="1"/>
  <c r="H13" i="14" a="1"/>
  <c r="H17" i="14" a="1"/>
  <c r="H15" i="14" a="1"/>
  <c r="H9" i="14" a="1"/>
  <c r="H11" i="14" a="1"/>
  <c r="H5" i="14" a="1"/>
  <c r="H18" i="14" a="1"/>
  <c r="H12" i="14" a="1"/>
  <c r="H14" i="14" a="1"/>
  <c r="H19" i="14" a="1"/>
  <c r="H6" i="14" a="1"/>
  <c r="H7" i="14" a="1"/>
  <c r="H8" i="14" a="1"/>
  <c r="H16" i="14" a="1"/>
  <c r="H10" i="14" a="1"/>
  <c r="C5" i="5" l="1" a="1"/>
  <c r="C5" i="5" s="1"/>
  <c r="C4" i="5" a="1"/>
  <c r="C4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J5" i="14" s="1" a="1"/>
  <c r="J5" i="14" s="1"/>
  <c r="I5" i="14" l="1" a="1"/>
  <c r="I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<sst xmlns="http://schemas.openxmlformats.org/spreadsheetml/2006/main" count="152" uniqueCount="105">
  <si>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</si>
  <si>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</si>
  <si>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</si>
  <si>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</si>
  <si>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</si>
  <si>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</si>
  <si>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</si>
  <si>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</si>
  <si>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</si>
  <si>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</si>
  <si>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</si>
  <si>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</si>
  <si>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</si>
  <si>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</si>
  <si>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</si>
  <si>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</si>
  <si>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</si>
  <si>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</si>
  <si>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</si>
  <si>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</si>
  <si>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</si>
  <si>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</si>
  <si>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</si>
  <si>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</si>
  <si>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</si>
  <si>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</si>
  <si>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</si>
  <si>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</si>
  <si>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</si>
  <si>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</si>
  <si>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</si>
  <si>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</si>
  <si>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</si>
  <si>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</si>
  <si>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</si>
  <si>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</si>
  <si>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</si>
  <si>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</si>
  <si>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</si>
  <si>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</si>
  <si>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</si>
  <si>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</si>
  <si>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</si>
  <si>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</si>
  <si>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</si>
  <si>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</si>
  <si>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</si>
  <si>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</si>
  <si>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</si>
  <si>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</si>
  <si>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</si>
  <si>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</si>
  <si>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</si>
  <si>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</si>
  <si>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</si>
  <si>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</si>
  <si>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</si>
  <si>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</si>
  <si>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</si>
  <si>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</si>
  <si>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</si>
  <si>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</si>
  <si>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</si>
  <si>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</si>
  <si>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</si>
  <si>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</si>
  <si>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</si>
  <si>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</si>
  <si>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</si>
  <si>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</si>
  <si>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</si>
  <si>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</si>
  <si>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Possible grade</t>
  </si>
  <si>
    <t>Maximum grade</t>
  </si>
  <si>
    <t>Plausible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</si>
  <si>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</si>
  <si>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</si>
  <si>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</si>
  <si>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</si>
  <si>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</si>
  <si>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</si>
  <si>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</si>
  <si>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</si>
  <si>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</si>
  <si>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</si>
  <si>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</si>
  <si>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</si>
  <si>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</si>
  <si>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</si>
  <si>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</si>
  <si>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</si>
  <si>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</si>
  <si>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</si>
  <si>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</si>
  <si>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</si>
  <si>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</si>
  <si>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</si>
  <si>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</si>
  <si>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</si>
  <si>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</si>
  <si>
    <t>Planned average for Cum Laude (without Minor)</t>
  </si>
  <si>
    <t>BCS average for Cum Laude</t>
  </si>
  <si>
    <t>Maximum weight</t>
  </si>
  <si>
    <t>Possible weight</t>
  </si>
  <si>
    <t>1 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</si>
</sst>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  <numFmt numFmtId="170" formatCode="#\ &quot;h&quot;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70" fontId="7" fillId="0" borderId="2" xfId="0" applyNumberFormat="1" applyFont="1" applyBorder="1" applyAlignment="1" applyProtection="1">
      <alignment horizontal="center" vertical="center"/>
    </xf>
    <xf numFmtId="170" fontId="7" fillId="0" borderId="6" xfId="0" applyNumberFormat="1" applyFont="1" applyBorder="1" applyAlignment="1" applyProtection="1">
      <alignment horizontal="center" vertical="center"/>
    </xf>
    <xf numFmtId="170" fontId="0" fillId="0" borderId="0" xfId="0" applyNumberFormat="1" applyFont="1" applyProtection="1"/>
  </cellXfs>
  <cellStyles count="1">
    <cellStyle name="Normal" xfId="0" builtinId="0"/>
  </cellStyles>
  <dxfs count="33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theme="1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ont>
        <b/>
        <i val="0"/>
        <color theme="9"/>
      </font>
      <numFmt numFmtId="169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I22" sqref="I22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94</v>
      </c>
      <c r="J3" s="23" t="s">
        <v>95</v>
      </c>
    </row>
    <row r="4" spans="3:11" ht="14.95" customHeight="1" x14ac:dyDescent="0.25">
      <c r="C4" s="71">
        <v>1</v>
      </c>
      <c r="D4" s="2" t="s">
        <v>90</v>
      </c>
      <c r="E4" s="3">
        <v>44321</v>
      </c>
      <c r="H4" s="24" t="s">
        <v>69</v>
      </c>
      <c r="I4" s="29">
        <f ca="1">SUM(I5:I104)</f>
        <v>0.37187500000000001</v>
      </c>
      <c r="J4" s="30">
        <f ca="1">SUM(J5:J104)</f>
        <v>0.28923611111111108</v>
      </c>
    </row>
    <row r="5" spans="3:11" ht="14.95" customHeight="1" x14ac:dyDescent="0.25">
      <c r="C5" s="5"/>
      <c r="D5" s="6" t="s">
        <v>91</v>
      </c>
      <c r="E5" s="7">
        <v>44369</v>
      </c>
      <c r="H5" s="69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AE1110-I Introduction to Aerospace Engineering I</v>
      </c>
      <c r="I5" s="26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0.109375</v>
      </c>
      <c r="J5" s="26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8.5069444444444434E-2</v>
      </c>
    </row>
    <row r="6" spans="3:11" x14ac:dyDescent="0.25">
      <c r="C6" s="5"/>
      <c r="D6" s="6" t="s">
        <v>92</v>
      </c>
      <c r="E6" s="8">
        <f>E5-E4</f>
        <v>48</v>
      </c>
      <c r="H6" s="70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AE1130-I Statics</v>
      </c>
      <c r="I6" s="25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8.7500000000000008E-2</v>
      </c>
      <c r="J6" s="25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6.8055555555555564E-2</v>
      </c>
    </row>
    <row r="7" spans="3:11" ht="14.95" thickBot="1" x14ac:dyDescent="0.3">
      <c r="C7" s="5"/>
      <c r="D7" s="33" t="s">
        <v>98</v>
      </c>
      <c r="E7" s="9">
        <f ca="1">E5-TODAY()</f>
        <v>29</v>
      </c>
      <c r="F7" s="10"/>
      <c r="H7" s="70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WI1421LR Calculus I-A</v>
      </c>
      <c r="I7" s="25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6.5625000000000003E-2</v>
      </c>
      <c r="J7" s="25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5.1041666666666659E-2</v>
      </c>
    </row>
    <row r="8" spans="3:11" ht="14.95" thickBot="1" x14ac:dyDescent="0.3">
      <c r="C8" s="11"/>
      <c r="D8" s="12" t="s">
        <v>93</v>
      </c>
      <c r="E8" s="13" cm="1">
        <f t="array" aca="1" ref="E8" ca="1">COUNTA(_xlfn._xlws.FILTER(H5:H19, (NOT(H5:H19 = "None"))))</f>
        <v>5</v>
      </c>
      <c r="H8" s="70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AE1111-I Exploring Aerospace Engineering</v>
      </c>
      <c r="I8" s="25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6.5625000000000003E-2</v>
      </c>
      <c r="J8" s="25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5.1041666666666659E-2</v>
      </c>
    </row>
    <row r="9" spans="3:11" x14ac:dyDescent="0.25">
      <c r="H9" s="70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AE1111-II Engineering Drawing</v>
      </c>
      <c r="I9" s="25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>4.3750000000000004E-2</v>
      </c>
      <c r="J9" s="25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>3.4027777777777782E-2</v>
      </c>
      <c r="K9" s="14"/>
    </row>
    <row r="10" spans="3:11" x14ac:dyDescent="0.25">
      <c r="H10" s="70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/>
      </c>
      <c r="J10" s="25" t="str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/>
      </c>
      <c r="J11" s="25" t="str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/>
      </c>
      <c r="J12" s="25" t="str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/>
      </c>
      <c r="J13" s="25" t="str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5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5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5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5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5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5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tabSelected="1" zoomScale="85" zoomScaleNormal="85" workbookViewId="0">
      <selection activeCell="G8" sqref="G8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82</v>
      </c>
      <c r="C2" s="45">
        <f>IF(ISERROR(
SUMPRODUCT(
_xlfn._xlws.FILTER(Modules!C2:C28,Modules!F2:F28),
_xlfn._xlws.FILTER(Modules!D2:D28,Modules!F2:F28)
)/SUM(Modules!D2:D28)),
0,
SUMPRODUCT(
_xlfn._xlws.FILTER(Modules!C2:C28,Modules!F2:F28),
_xlfn._xlws.FILTER(Modules!D2:D28,Modules!F2:F28)
)/SUM(Modules!D2:D28))</f>
        <v>0.25</v>
      </c>
      <c r="E2" s="81" t="s">
        <v>88</v>
      </c>
      <c r="F2" s="82"/>
      <c r="G2" s="78">
        <v>1</v>
      </c>
    </row>
    <row r="3" spans="2:16" ht="14.3" customHeight="1" x14ac:dyDescent="0.25">
      <c r="B3" s="46" t="s">
        <v>71</v>
      </c>
      <c r="C3" s="47" cm="1">
        <f t="array" ref="C3">SUMPRODUCT(
_xlfn._xlws.FILTER(_xlfn._xlws.FILTER(Modules!C2:D28, (Modules!C2:C28&gt;0)*(Modules!F2:F28)), {1,0}),
_xlfn._xlws.FILTER(_xlfn._xlws.FILTER(Modules!C2:D28, (Modules!C2:C28&gt;0)*(Modules!F2:F28)), {0,1})
)/SUM(_xlfn._xlws.FILTER(_xlfn._xlws.FILTER(Modules!C2:D28, (Modules!C2:C28&gt;0)*(Modules!F2:F28)), {0,1}))</f>
        <v>9</v>
      </c>
      <c r="E3" s="83"/>
      <c r="F3" s="84"/>
      <c r="G3" s="79"/>
    </row>
    <row r="4" spans="2:16" ht="14.3" customHeight="1" x14ac:dyDescent="0.25">
      <c r="B4" s="48" t="s">
        <v>86</v>
      </c>
      <c r="C4" s="49" cm="1">
        <f t="array" ref="C4">C2
+
SUM(_xlfn._xlws.FILTER(Modules!J2:J28,(NOT(Modules!F2:F28))))</f>
        <v>6.9888888888888863</v>
      </c>
      <c r="E4" s="83"/>
      <c r="F4" s="84"/>
      <c r="G4" s="79"/>
    </row>
    <row r="5" spans="2:16" ht="14.3" customHeight="1" x14ac:dyDescent="0.25">
      <c r="B5" s="46" t="s">
        <v>87</v>
      </c>
      <c r="C5" s="47" cm="1">
        <f t="array" ref="C5">C2
+
SUM(_xlfn._xlws.FILTER(Modules!H2:H28,(NOT(Modules!F2:F28))))</f>
        <v>8.9</v>
      </c>
      <c r="E5" s="85"/>
      <c r="F5" s="86"/>
      <c r="G5" s="80"/>
    </row>
    <row r="6" spans="2:16" ht="14.3" customHeight="1" x14ac:dyDescent="0.25">
      <c r="B6" s="74" t="s">
        <v>100</v>
      </c>
      <c r="C6" s="75" cm="1">
        <f t="array" ref="C6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SUM(_xlfn._xlws.FILTER(Modules!J2:J28,(NOT(Modules!E2:E28="Minor"))*NOT(Modules!F2:F28)))*180/150</f>
        <v>6.9866666666666646</v>
      </c>
      <c r="E6" s="88" t="s">
        <v>104</v>
      </c>
      <c r="F6" s="87"/>
      <c r="G6" s="91">
        <v>28</v>
      </c>
      <c r="I6" s="93"/>
    </row>
    <row r="7" spans="2:16" ht="14.3" customHeight="1" x14ac:dyDescent="0.25">
      <c r="B7" s="73" t="s">
        <v>101</v>
      </c>
      <c r="C7" s="50" cm="1">
        <f t="array" ref="C7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SUM(_xlfn._xlws.FILTER(Modules!H2:H28,(NOT(Modules!E2:E28="Minor"))*NOT(Modules!F2:F28)))*180/150</f>
        <v>8.8800000000000008</v>
      </c>
      <c r="E7" s="89"/>
      <c r="F7" s="90"/>
      <c r="G7" s="92"/>
    </row>
    <row r="8" spans="2:16" ht="14.3" customHeight="1" x14ac:dyDescent="0.25">
      <c r="B8" s="51"/>
      <c r="C8" s="52"/>
      <c r="E8" s="32"/>
      <c r="F8" s="32"/>
      <c r="G8" s="31"/>
    </row>
    <row r="9" spans="2:16" ht="14.3" customHeight="1" x14ac:dyDescent="0.25"/>
    <row r="10" spans="2:16" x14ac:dyDescent="0.25">
      <c r="B10" s="76" t="s">
        <v>78</v>
      </c>
      <c r="C10" s="76"/>
      <c r="D10" s="76"/>
      <c r="E10" s="77"/>
      <c r="F10" s="77"/>
      <c r="G10" s="76"/>
      <c r="H10" s="76"/>
      <c r="I10" s="76"/>
      <c r="J10" s="76"/>
      <c r="K10" s="76"/>
      <c r="L10" s="76"/>
      <c r="M10" s="76"/>
      <c r="N10" s="76"/>
      <c r="O10" s="76"/>
      <c r="P10" s="76"/>
    </row>
    <row r="12" spans="2:16" x14ac:dyDescent="0.25">
      <c r="B12" s="53" t="s">
        <v>79</v>
      </c>
      <c r="C12" s="54" t="s">
        <v>75</v>
      </c>
      <c r="D12" s="54" t="s">
        <v>26</v>
      </c>
      <c r="E12" s="55" t="s">
        <v>89</v>
      </c>
      <c r="F12" s="54" t="s">
        <v>97</v>
      </c>
      <c r="G12" s="54" t="s">
        <v>85</v>
      </c>
      <c r="H12" s="54" t="s">
        <v>62</v>
      </c>
      <c r="I12" s="43"/>
      <c r="J12" s="61" t="s">
        <v>80</v>
      </c>
      <c r="K12" s="62" t="s">
        <v>75</v>
      </c>
      <c r="L12" s="62" t="s">
        <v>26</v>
      </c>
      <c r="M12" s="62" t="s">
        <v>89</v>
      </c>
      <c r="N12" s="62" t="s">
        <v>97</v>
      </c>
      <c r="O12" s="62" t="s">
        <v>85</v>
      </c>
      <c r="P12" s="62" t="s">
        <v>62</v>
      </c>
    </row>
    <row r="13" spans="2:16" x14ac:dyDescent="0.25">
      <c r="B13" s="41" t="str" cm="1">
        <f t="array" ref="B13:H1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AE1110-I Introduction to Aerospace Engineering I</v>
      </c>
      <c r="C13" s="42">
        <v>0</v>
      </c>
      <c r="D13" s="42">
        <v>5</v>
      </c>
      <c r="E13" s="42">
        <v>9</v>
      </c>
      <c r="F13" s="42">
        <v>7</v>
      </c>
      <c r="G13" s="60">
        <v>98</v>
      </c>
      <c r="H13" s="59">
        <v>1</v>
      </c>
      <c r="J13" s="41" t="str" cm="1">
        <f t="array" ref="J13:P16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AE1110-II Introduction to Aerospace Engineering II</v>
      </c>
      <c r="K13" s="42">
        <v>0</v>
      </c>
      <c r="L13" s="42">
        <v>4</v>
      </c>
      <c r="M13" s="42">
        <v>9</v>
      </c>
      <c r="N13" s="42">
        <v>7</v>
      </c>
      <c r="O13" s="60">
        <v>78.400000000000006</v>
      </c>
      <c r="P13" s="59">
        <v>1</v>
      </c>
    </row>
    <row r="14" spans="2:16" x14ac:dyDescent="0.25">
      <c r="B14" s="41" t="str">
        <v>AE1130-I Statics</v>
      </c>
      <c r="C14" s="42">
        <v>0</v>
      </c>
      <c r="D14" s="42">
        <v>4</v>
      </c>
      <c r="E14" s="42">
        <v>9</v>
      </c>
      <c r="F14" s="60">
        <v>7</v>
      </c>
      <c r="G14" s="42">
        <v>78.400000000000006</v>
      </c>
      <c r="H14" s="59">
        <v>1</v>
      </c>
      <c r="J14" s="41" t="str">
        <v>WI1421LR Calculus I-B</v>
      </c>
      <c r="K14" s="42">
        <v>0</v>
      </c>
      <c r="L14" s="42">
        <v>3</v>
      </c>
      <c r="M14" s="42">
        <v>9</v>
      </c>
      <c r="N14" s="42">
        <v>7</v>
      </c>
      <c r="O14" s="60">
        <v>58.8</v>
      </c>
      <c r="P14" s="59">
        <v>1</v>
      </c>
    </row>
    <row r="15" spans="2:16" x14ac:dyDescent="0.25">
      <c r="B15" s="41" t="str">
        <v>WI1421LR Calculus I-A</v>
      </c>
      <c r="C15" s="42">
        <v>0</v>
      </c>
      <c r="D15" s="42">
        <v>3</v>
      </c>
      <c r="E15" s="42">
        <v>9</v>
      </c>
      <c r="F15" s="60">
        <v>7</v>
      </c>
      <c r="G15" s="42">
        <v>58.8</v>
      </c>
      <c r="H15" s="59">
        <v>1</v>
      </c>
      <c r="J15" s="41" t="str">
        <v>AE1130-II Dynamics</v>
      </c>
      <c r="K15" s="42">
        <v>0</v>
      </c>
      <c r="L15" s="42">
        <v>3</v>
      </c>
      <c r="M15" s="42">
        <v>9</v>
      </c>
      <c r="N15" s="42">
        <v>7</v>
      </c>
      <c r="O15" s="60">
        <v>58.8</v>
      </c>
      <c r="P15" s="59">
        <v>1</v>
      </c>
    </row>
    <row r="16" spans="2:16" x14ac:dyDescent="0.25">
      <c r="B16" s="41" t="str">
        <v>AE1111-I Exploring Aerospace Engineering</v>
      </c>
      <c r="C16" s="42">
        <v>0</v>
      </c>
      <c r="D16" s="42">
        <v>3</v>
      </c>
      <c r="E16" s="42">
        <v>9</v>
      </c>
      <c r="F16" s="60">
        <v>7</v>
      </c>
      <c r="G16" s="42">
        <v>58.8</v>
      </c>
      <c r="H16" s="59">
        <v>1</v>
      </c>
      <c r="J16" s="41" t="str">
        <v>AE1108-I Aerospace Materials</v>
      </c>
      <c r="K16" s="42">
        <v>0</v>
      </c>
      <c r="L16" s="42">
        <v>3</v>
      </c>
      <c r="M16" s="42">
        <v>9</v>
      </c>
      <c r="N16" s="42">
        <v>7</v>
      </c>
      <c r="O16" s="60">
        <v>58.8</v>
      </c>
      <c r="P16" s="59">
        <v>1</v>
      </c>
    </row>
    <row r="17" spans="2:16" x14ac:dyDescent="0.25">
      <c r="B17" s="18" t="str">
        <v>AE1111-II Engineering Drawing</v>
      </c>
      <c r="C17" s="42">
        <v>0</v>
      </c>
      <c r="D17" s="42">
        <v>2</v>
      </c>
      <c r="E17" s="42">
        <v>9</v>
      </c>
      <c r="F17" s="42">
        <v>7</v>
      </c>
      <c r="G17" s="60">
        <v>39.200000000000003</v>
      </c>
      <c r="H17" s="59">
        <v>1</v>
      </c>
      <c r="J17" s="18"/>
      <c r="O17" s="60"/>
      <c r="P17" s="59"/>
    </row>
    <row r="18" spans="2:16" x14ac:dyDescent="0.25">
      <c r="B18" s="18"/>
      <c r="G18" s="60"/>
      <c r="H18" s="59"/>
      <c r="O18" s="60"/>
      <c r="P18" s="59"/>
    </row>
    <row r="19" spans="2:16" x14ac:dyDescent="0.25">
      <c r="B19" s="18"/>
      <c r="G19" s="60"/>
      <c r="H19" s="59"/>
      <c r="O19" s="60"/>
      <c r="P19" s="59"/>
    </row>
    <row r="20" spans="2:16" x14ac:dyDescent="0.25">
      <c r="B20" s="18"/>
      <c r="G20" s="60"/>
      <c r="H20" s="59"/>
      <c r="O20" s="60"/>
      <c r="P20" s="59"/>
    </row>
    <row r="21" spans="2:16" x14ac:dyDescent="0.25">
      <c r="B21" s="18"/>
      <c r="G21" s="60"/>
      <c r="H21" s="59"/>
      <c r="O21" s="60"/>
      <c r="P21" s="59"/>
    </row>
    <row r="22" spans="2:16" x14ac:dyDescent="0.25">
      <c r="B22" s="18"/>
      <c r="G22" s="60"/>
      <c r="H22" s="59"/>
      <c r="O22" s="60"/>
      <c r="P22" s="59"/>
    </row>
    <row r="23" spans="2:16" x14ac:dyDescent="0.25">
      <c r="B23" s="18"/>
      <c r="G23" s="60"/>
      <c r="H23" s="59"/>
      <c r="O23" s="60"/>
      <c r="P23" s="59"/>
    </row>
    <row r="24" spans="2:16" x14ac:dyDescent="0.25">
      <c r="B24" s="18"/>
      <c r="G24" s="60"/>
      <c r="H24" s="59"/>
      <c r="O24" s="60"/>
      <c r="P24" s="59"/>
    </row>
    <row r="25" spans="2:16" x14ac:dyDescent="0.25">
      <c r="B25" s="18"/>
      <c r="G25" s="60"/>
      <c r="H25" s="59"/>
      <c r="O25" s="60"/>
      <c r="P25" s="59"/>
    </row>
    <row r="26" spans="2:16" x14ac:dyDescent="0.25">
      <c r="B26" s="18"/>
      <c r="G26" s="60"/>
      <c r="H26" s="59"/>
      <c r="O26" s="60"/>
      <c r="P26" s="59"/>
    </row>
    <row r="27" spans="2:16" x14ac:dyDescent="0.25">
      <c r="B27" s="18"/>
      <c r="G27" s="60"/>
      <c r="H27" s="59"/>
      <c r="O27" s="60"/>
      <c r="P27" s="59"/>
    </row>
    <row r="28" spans="2:16" x14ac:dyDescent="0.25">
      <c r="G28" s="58"/>
      <c r="H28" s="59"/>
      <c r="O28" s="60"/>
      <c r="P28" s="59"/>
    </row>
    <row r="29" spans="2:16" x14ac:dyDescent="0.25">
      <c r="B29" s="56" t="s">
        <v>76</v>
      </c>
      <c r="C29" s="57" t="s">
        <v>75</v>
      </c>
      <c r="D29" s="57" t="s">
        <v>26</v>
      </c>
      <c r="E29" s="57" t="s">
        <v>89</v>
      </c>
      <c r="F29" s="57" t="s">
        <v>97</v>
      </c>
      <c r="G29" s="57" t="s">
        <v>85</v>
      </c>
      <c r="H29" s="57" t="s">
        <v>62</v>
      </c>
      <c r="I29" s="43"/>
      <c r="J29" s="63" t="s">
        <v>77</v>
      </c>
      <c r="K29" s="64" t="s">
        <v>75</v>
      </c>
      <c r="L29" s="64" t="s">
        <v>26</v>
      </c>
      <c r="M29" s="65" t="s">
        <v>89</v>
      </c>
      <c r="N29" s="64" t="s">
        <v>97</v>
      </c>
      <c r="O29" s="64" t="s">
        <v>85</v>
      </c>
      <c r="P29" s="64" t="s">
        <v>62</v>
      </c>
    </row>
    <row r="30" spans="2:16" x14ac:dyDescent="0.25">
      <c r="B30" s="41" t="str" cm="1">
        <f t="array" ref="B30:H32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AE1108-II Aerospace Mechanics of Materials</v>
      </c>
      <c r="C30" s="42">
        <v>3</v>
      </c>
      <c r="D30" s="42">
        <v>3</v>
      </c>
      <c r="E30" s="42">
        <v>3</v>
      </c>
      <c r="F30" s="42">
        <v>3</v>
      </c>
      <c r="G30" s="60">
        <v>0</v>
      </c>
      <c r="H30" s="59">
        <v>1</v>
      </c>
      <c r="J30" s="18" t="str" cm="1">
        <f t="array" ref="J30:P32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AE1240-II Waves and Electromagnetism</v>
      </c>
      <c r="K30" s="42">
        <v>3</v>
      </c>
      <c r="L30" s="42">
        <v>3</v>
      </c>
      <c r="M30" s="42">
        <v>9</v>
      </c>
      <c r="N30" s="42">
        <v>7</v>
      </c>
      <c r="O30" s="60">
        <v>58.8</v>
      </c>
      <c r="P30" s="59">
        <v>1</v>
      </c>
    </row>
    <row r="31" spans="2:16" x14ac:dyDescent="0.25">
      <c r="B31" s="41" t="str">
        <v>AE1222-II Aerospace Design and Systems Engineering Elements I</v>
      </c>
      <c r="C31" s="42">
        <v>0</v>
      </c>
      <c r="D31" s="42">
        <v>4</v>
      </c>
      <c r="E31" s="42">
        <v>9</v>
      </c>
      <c r="F31" s="60">
        <v>7</v>
      </c>
      <c r="G31" s="42">
        <v>78.400000000000006</v>
      </c>
      <c r="H31" s="59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0">
        <v>58.8</v>
      </c>
      <c r="P31" s="59">
        <v>1</v>
      </c>
    </row>
    <row r="32" spans="2:16" x14ac:dyDescent="0.25">
      <c r="B32" s="41" t="str">
        <v>AE1222-I Design &amp; Construction</v>
      </c>
      <c r="C32" s="42">
        <v>0</v>
      </c>
      <c r="D32" s="42">
        <v>5</v>
      </c>
      <c r="E32" s="42">
        <v>9</v>
      </c>
      <c r="F32" s="60">
        <v>7</v>
      </c>
      <c r="G32" s="42">
        <v>98</v>
      </c>
      <c r="H32" s="59">
        <v>1</v>
      </c>
      <c r="J32" s="18" t="str">
        <v>AE1205 Programming and Scientific Computing in Python for AE1</v>
      </c>
      <c r="K32" s="42">
        <v>0</v>
      </c>
      <c r="L32" s="42">
        <v>2</v>
      </c>
      <c r="M32" s="42">
        <v>9</v>
      </c>
      <c r="N32" s="42">
        <v>7</v>
      </c>
      <c r="O32" s="60">
        <v>39.200000000000003</v>
      </c>
      <c r="P32" s="59">
        <v>1</v>
      </c>
    </row>
    <row r="33" spans="2:16" x14ac:dyDescent="0.25">
      <c r="C33" s="60"/>
      <c r="G33" s="42"/>
      <c r="H33" s="59"/>
      <c r="J33" s="18"/>
      <c r="L33" s="60"/>
      <c r="M33" s="60"/>
      <c r="P33" s="59"/>
    </row>
    <row r="34" spans="2:16" x14ac:dyDescent="0.25">
      <c r="D34" s="60"/>
      <c r="E34" s="60"/>
      <c r="G34" s="42"/>
      <c r="H34" s="59"/>
      <c r="L34" s="60"/>
      <c r="M34" s="60"/>
      <c r="P34" s="59"/>
    </row>
    <row r="35" spans="2:16" x14ac:dyDescent="0.25">
      <c r="D35" s="60"/>
      <c r="E35" s="60"/>
      <c r="G35" s="42"/>
      <c r="H35" s="59"/>
      <c r="P35" s="59"/>
    </row>
    <row r="36" spans="2:16" x14ac:dyDescent="0.25">
      <c r="G36" s="42"/>
      <c r="H36" s="59"/>
      <c r="P36" s="59"/>
    </row>
    <row r="37" spans="2:16" x14ac:dyDescent="0.25">
      <c r="G37" s="42"/>
      <c r="H37" s="59"/>
      <c r="P37" s="59"/>
    </row>
    <row r="38" spans="2:16" x14ac:dyDescent="0.25">
      <c r="G38" s="42"/>
      <c r="H38" s="59"/>
      <c r="J38" s="18"/>
      <c r="P38" s="59"/>
    </row>
    <row r="39" spans="2:16" x14ac:dyDescent="0.25">
      <c r="G39" s="42"/>
      <c r="H39" s="59"/>
      <c r="J39" s="18"/>
      <c r="P39" s="59"/>
    </row>
    <row r="40" spans="2:16" x14ac:dyDescent="0.25">
      <c r="B40" s="18"/>
      <c r="G40" s="42"/>
      <c r="H40" s="59"/>
      <c r="P40" s="59"/>
    </row>
    <row r="41" spans="2:16" x14ac:dyDescent="0.25">
      <c r="H41" s="59"/>
      <c r="P41" s="59"/>
    </row>
    <row r="42" spans="2:16" x14ac:dyDescent="0.25">
      <c r="B42" s="67" t="s">
        <v>99</v>
      </c>
      <c r="C42" s="68" t="s">
        <v>75</v>
      </c>
      <c r="D42" s="68" t="s">
        <v>26</v>
      </c>
      <c r="E42" s="72" t="s">
        <v>89</v>
      </c>
      <c r="F42" s="68" t="s">
        <v>97</v>
      </c>
      <c r="G42" s="68" t="s">
        <v>85</v>
      </c>
      <c r="H42" s="68" t="s">
        <v>62</v>
      </c>
      <c r="P42" s="59"/>
    </row>
    <row r="43" spans="2:16" x14ac:dyDescent="0.25">
      <c r="B43" s="41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2"/>
    </row>
    <row r="44" spans="2:16" x14ac:dyDescent="0.25">
      <c r="G44" s="42"/>
    </row>
    <row r="45" spans="2:16" x14ac:dyDescent="0.25">
      <c r="G45" s="42"/>
    </row>
    <row r="46" spans="2:16" x14ac:dyDescent="0.25">
      <c r="G46" s="42"/>
    </row>
    <row r="47" spans="2:16" x14ac:dyDescent="0.25">
      <c r="C47" s="66"/>
      <c r="G47" s="42"/>
    </row>
    <row r="48" spans="2:16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zoomScaleNormal="100" workbookViewId="0">
      <selection activeCell="L47" sqref="L47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1" width="17.5" style="1" customWidth="1"/>
    <col min="12" max="12" width="12.5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73</v>
      </c>
      <c r="I1" s="35" t="s">
        <v>96</v>
      </c>
      <c r="J1" s="35" t="s">
        <v>72</v>
      </c>
      <c r="K1" s="35" t="s">
        <v>74</v>
      </c>
      <c r="L1" s="35" t="s">
        <v>84</v>
      </c>
      <c r="M1" s="35" t="s">
        <v>62</v>
      </c>
      <c r="N1" s="35" t="s">
        <v>83</v>
      </c>
    </row>
    <row r="2" spans="1:14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7</v>
      </c>
      <c r="I2" s="37">
        <f t="shared" ref="I2:I46" si="1">IF(NOT(ISBLANK(D2)), IF(G2=1, H2, D2), H2)</f>
        <v>9</v>
      </c>
      <c r="J2" s="39">
        <v>7</v>
      </c>
      <c r="K2" s="37">
        <f t="shared" ref="K2:K46" si="2">IF(NOT(ISBLANK(D2)), IF(G2=1, J2, D2), J2)</f>
        <v>9</v>
      </c>
      <c r="L2" s="37">
        <f>IF(OR(G2&gt;0, ISBLANK(D2)), E2*'Dashboard - Exams'!$G$6*K2/10, 0)</f>
        <v>0</v>
      </c>
      <c r="M2" s="28">
        <v>1</v>
      </c>
      <c r="N2" s="17" t="b">
        <f t="shared" ref="N2:N46" si="3">IF(D2&gt;4.99, TRUE, FALSE)</f>
        <v>1</v>
      </c>
    </row>
    <row r="3" spans="1:14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3</v>
      </c>
      <c r="J3" s="39">
        <v>7</v>
      </c>
      <c r="K3" s="37">
        <f t="shared" si="2"/>
        <v>3</v>
      </c>
      <c r="L3" s="37">
        <f>IF(OR(G3&gt;0, ISBLANK(D3)), E3*'Dashboard - Exams'!$G$6*K3/10, 0)</f>
        <v>0</v>
      </c>
      <c r="M3" s="28">
        <v>1</v>
      </c>
      <c r="N3" s="17" t="b">
        <f t="shared" si="3"/>
        <v>0</v>
      </c>
    </row>
    <row r="4" spans="1:14" x14ac:dyDescent="0.25">
      <c r="A4" s="27"/>
      <c r="B4" s="17" t="s">
        <v>58</v>
      </c>
      <c r="C4" s="37">
        <v>4</v>
      </c>
      <c r="D4">
        <v>3</v>
      </c>
      <c r="E4" s="37">
        <v>3</v>
      </c>
      <c r="F4" s="36" t="str">
        <f t="shared" si="0"/>
        <v>Pending</v>
      </c>
      <c r="G4" s="38">
        <v>1</v>
      </c>
      <c r="H4" s="39">
        <v>9</v>
      </c>
      <c r="I4" s="37">
        <f t="shared" si="1"/>
        <v>9</v>
      </c>
      <c r="J4" s="39">
        <v>7</v>
      </c>
      <c r="K4" s="37">
        <f t="shared" si="2"/>
        <v>7</v>
      </c>
      <c r="L4" s="37">
        <f>IF(OR(G4&gt;0, ISBLANK(D4)), E4*'Dashboard - Exams'!$G$6*K4/10, 0)</f>
        <v>58.8</v>
      </c>
      <c r="M4" s="28">
        <v>1</v>
      </c>
      <c r="N4" s="17" t="b">
        <f t="shared" si="3"/>
        <v>0</v>
      </c>
    </row>
    <row r="5" spans="1:14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9">
        <v>7</v>
      </c>
      <c r="K5" s="37">
        <f t="shared" si="2"/>
        <v>7</v>
      </c>
      <c r="L5" s="37">
        <f>IF(OR(G5&gt;0, ISBLANK(D5)), E5*'Dashboard - Exams'!$G$6*K5/10, 0)</f>
        <v>58.8</v>
      </c>
      <c r="M5" s="28">
        <v>1</v>
      </c>
      <c r="N5" s="17" t="b">
        <f t="shared" si="3"/>
        <v>0</v>
      </c>
    </row>
    <row r="6" spans="1:14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9">
        <v>7</v>
      </c>
      <c r="K6" s="37">
        <f t="shared" si="2"/>
        <v>7</v>
      </c>
      <c r="L6" s="37">
        <f>IF(OR(G6&gt;0, ISBLANK(D6)), E6*'Dashboard - Exams'!$G$6*K6/10, 0)</f>
        <v>39.200000000000003</v>
      </c>
      <c r="M6" s="28">
        <v>1</v>
      </c>
      <c r="N6" s="17" t="b">
        <f t="shared" si="3"/>
        <v>0</v>
      </c>
    </row>
    <row r="7" spans="1:14" x14ac:dyDescent="0.25">
      <c r="A7" s="27"/>
      <c r="B7" s="17" t="s">
        <v>65</v>
      </c>
      <c r="C7" s="37">
        <v>3</v>
      </c>
      <c r="D7">
        <v>6</v>
      </c>
      <c r="E7" s="37">
        <v>5</v>
      </c>
      <c r="F7" s="36" t="str">
        <f t="shared" si="0"/>
        <v>Definitive</v>
      </c>
      <c r="G7" s="38">
        <v>1</v>
      </c>
      <c r="H7" s="39">
        <v>9</v>
      </c>
      <c r="I7" s="37">
        <f t="shared" si="1"/>
        <v>9</v>
      </c>
      <c r="J7" s="39">
        <v>7</v>
      </c>
      <c r="K7" s="37">
        <f t="shared" si="2"/>
        <v>7</v>
      </c>
      <c r="L7" s="37">
        <f>IF(OR(G7&gt;0, ISBLANK(D7)), E7*'Dashboard - Exams'!$G$6*K7/10, 0)</f>
        <v>98</v>
      </c>
      <c r="M7" s="28">
        <v>1</v>
      </c>
      <c r="N7" s="17" t="b">
        <f t="shared" si="3"/>
        <v>1</v>
      </c>
    </row>
    <row r="8" spans="1:14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9">
        <v>7</v>
      </c>
      <c r="K8" s="37">
        <f t="shared" si="2"/>
        <v>7</v>
      </c>
      <c r="L8" s="37">
        <f>IF(OR(G8&gt;0, ISBLANK(D8)), E8*'Dashboard - Exams'!$G$6*K8/10, 0)</f>
        <v>78.400000000000006</v>
      </c>
      <c r="M8" s="28">
        <v>1</v>
      </c>
      <c r="N8" s="17" t="b">
        <f t="shared" si="3"/>
        <v>0</v>
      </c>
    </row>
    <row r="9" spans="1:14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9">
        <v>7</v>
      </c>
      <c r="K9" s="37">
        <f t="shared" si="2"/>
        <v>7</v>
      </c>
      <c r="L9" s="37">
        <f>IF(OR(G9&gt;0, ISBLANK(D9)), E9*'Dashboard - Exams'!$G$6*K9/10, 0)</f>
        <v>98</v>
      </c>
      <c r="M9" s="28">
        <v>1</v>
      </c>
      <c r="N9" s="17" t="b">
        <f t="shared" si="3"/>
        <v>0</v>
      </c>
    </row>
    <row r="10" spans="1:14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9">
        <v>7</v>
      </c>
      <c r="K10" s="37">
        <f t="shared" si="2"/>
        <v>7</v>
      </c>
      <c r="L10" s="37">
        <f>IF(OR(G10&gt;0, ISBLANK(D10)), E10*'Dashboard - Exams'!$G$6*K10/10, 0)</f>
        <v>78.400000000000006</v>
      </c>
      <c r="M10" s="28">
        <v>1</v>
      </c>
      <c r="N10" s="17" t="b">
        <f t="shared" si="3"/>
        <v>0</v>
      </c>
    </row>
    <row r="11" spans="1:14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9">
        <v>7</v>
      </c>
      <c r="K11" s="37">
        <f t="shared" si="2"/>
        <v>7</v>
      </c>
      <c r="L11" s="37">
        <f>IF(OR(G11&gt;0, ISBLANK(D11)), E11*'Dashboard - Exams'!$G$6*K11/10, 0)</f>
        <v>58.8</v>
      </c>
      <c r="M11" s="28">
        <v>1</v>
      </c>
      <c r="N11" s="17" t="b">
        <f t="shared" si="3"/>
        <v>0</v>
      </c>
    </row>
    <row r="12" spans="1:14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9">
        <v>7</v>
      </c>
      <c r="K12" s="37">
        <f t="shared" si="2"/>
        <v>7</v>
      </c>
      <c r="L12" s="37">
        <f>IF(OR(G12&gt;0, ISBLANK(D12)), E12*'Dashboard - Exams'!$G$6*K12/10, 0)</f>
        <v>58.8</v>
      </c>
      <c r="M12" s="28">
        <v>1</v>
      </c>
      <c r="N12" s="17" t="b">
        <f t="shared" si="3"/>
        <v>0</v>
      </c>
    </row>
    <row r="13" spans="1:14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9">
        <v>7</v>
      </c>
      <c r="K13" s="37">
        <f t="shared" si="2"/>
        <v>7</v>
      </c>
      <c r="L13" s="37">
        <f>IF(OR(G13&gt;0, ISBLANK(D13)), E13*'Dashboard - Exams'!$G$6*K13/10, 0)</f>
        <v>58.8</v>
      </c>
      <c r="M13" s="28">
        <v>1</v>
      </c>
      <c r="N13" s="17" t="b">
        <f t="shared" si="3"/>
        <v>0</v>
      </c>
    </row>
    <row r="14" spans="1:14" x14ac:dyDescent="0.25">
      <c r="A14" s="27"/>
      <c r="B14" s="17" t="s">
        <v>81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9">
        <v>7</v>
      </c>
      <c r="K14" s="37">
        <f t="shared" si="2"/>
        <v>7</v>
      </c>
      <c r="L14" s="37">
        <f>IF(OR(G14&gt;0, ISBLANK(D14)), E14*'Dashboard - Exams'!$G$6*K14/10, 0)</f>
        <v>98</v>
      </c>
      <c r="M14" s="28">
        <v>1</v>
      </c>
      <c r="N14" s="17" t="b">
        <f t="shared" si="3"/>
        <v>0</v>
      </c>
    </row>
    <row r="15" spans="1:14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9">
        <v>7</v>
      </c>
      <c r="K15" s="37">
        <f t="shared" si="2"/>
        <v>7</v>
      </c>
      <c r="L15" s="37">
        <f>IF(OR(G15&gt;0, ISBLANK(D15)), E15*'Dashboard - Exams'!$G$6*K15/10, 0)</f>
        <v>78.400000000000006</v>
      </c>
      <c r="M15" s="28">
        <v>1</v>
      </c>
      <c r="N15" s="17" t="b">
        <f t="shared" si="3"/>
        <v>0</v>
      </c>
    </row>
    <row r="16" spans="1:14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9">
        <v>7</v>
      </c>
      <c r="K16" s="37">
        <f t="shared" si="2"/>
        <v>7</v>
      </c>
      <c r="L16" s="37">
        <f>IF(OR(G16&gt;0, ISBLANK(D16)), E16*'Dashboard - Exams'!$G$6*K16/10, 0)</f>
        <v>58.8</v>
      </c>
      <c r="M16" s="28">
        <v>1</v>
      </c>
      <c r="N16" s="17" t="b">
        <f t="shared" si="3"/>
        <v>0</v>
      </c>
    </row>
    <row r="17" spans="1:14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9">
        <v>7</v>
      </c>
      <c r="K17" s="37">
        <f t="shared" si="2"/>
        <v>7</v>
      </c>
      <c r="L17" s="37">
        <f>IF(OR(G17&gt;0, ISBLANK(D17)), E17*'Dashboard - Exams'!$G$6*K17/10, 0)</f>
        <v>58.8</v>
      </c>
      <c r="M17" s="28">
        <v>1</v>
      </c>
      <c r="N17" s="17" t="b">
        <f t="shared" si="3"/>
        <v>0</v>
      </c>
    </row>
    <row r="18" spans="1:14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9">
        <v>7</v>
      </c>
      <c r="K18" s="37">
        <f t="shared" si="2"/>
        <v>7</v>
      </c>
      <c r="L18" s="37">
        <f>IF(OR(G18&gt;0, ISBLANK(D18)), E18*'Dashboard - Exams'!$G$6*K18/10, 0)</f>
        <v>39.200000000000003</v>
      </c>
      <c r="M18" s="28">
        <v>1</v>
      </c>
      <c r="N18" s="17" t="b">
        <f t="shared" si="3"/>
        <v>0</v>
      </c>
    </row>
    <row r="19" spans="1:14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9">
        <v>7</v>
      </c>
      <c r="K19" s="37">
        <f t="shared" si="2"/>
        <v>7</v>
      </c>
      <c r="L19" s="37">
        <f>IF(OR(G19&gt;0, ISBLANK(D19)), E19*'Dashboard - Exams'!$G$6*K19/10, 0)</f>
        <v>58.8</v>
      </c>
      <c r="M19" s="28">
        <v>2</v>
      </c>
      <c r="N19" s="17" t="b">
        <f t="shared" si="3"/>
        <v>0</v>
      </c>
    </row>
    <row r="20" spans="1:14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9">
        <v>7</v>
      </c>
      <c r="K20" s="37">
        <f t="shared" si="2"/>
        <v>7</v>
      </c>
      <c r="L20" s="37">
        <f>IF(OR(G20&gt;0, ISBLANK(D20)), E20*'Dashboard - Exams'!$G$6*K20/10, 0)</f>
        <v>78.400000000000006</v>
      </c>
      <c r="M20" s="28">
        <v>2</v>
      </c>
      <c r="N20" s="17" t="b">
        <f t="shared" si="3"/>
        <v>0</v>
      </c>
    </row>
    <row r="21" spans="1:14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9">
        <v>7</v>
      </c>
      <c r="K21" s="37">
        <f t="shared" si="2"/>
        <v>7</v>
      </c>
      <c r="L21" s="37">
        <f>IF(OR(G21&gt;0, ISBLANK(D21)), E21*'Dashboard - Exams'!$G$6*K21/10, 0)</f>
        <v>78.400000000000006</v>
      </c>
      <c r="M21" s="28">
        <v>2</v>
      </c>
      <c r="N21" s="17" t="b">
        <f t="shared" si="3"/>
        <v>0</v>
      </c>
    </row>
    <row r="22" spans="1:14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9">
        <v>7</v>
      </c>
      <c r="K22" s="37">
        <f t="shared" si="2"/>
        <v>7</v>
      </c>
      <c r="L22" s="37">
        <f>IF(OR(G22&gt;0, ISBLANK(D22)), E22*'Dashboard - Exams'!$G$6*K22/10, 0)</f>
        <v>58.8</v>
      </c>
      <c r="M22" s="28">
        <v>2</v>
      </c>
      <c r="N22" s="17" t="b">
        <f t="shared" si="3"/>
        <v>0</v>
      </c>
    </row>
    <row r="23" spans="1:14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9">
        <v>7</v>
      </c>
      <c r="K23" s="37">
        <f t="shared" si="2"/>
        <v>7</v>
      </c>
      <c r="L23" s="37">
        <f>IF(OR(G23&gt;0, ISBLANK(D23)), E23*'Dashboard - Exams'!$G$6*K23/10, 0)</f>
        <v>58.8</v>
      </c>
      <c r="M23" s="28">
        <v>2</v>
      </c>
      <c r="N23" s="17" t="b">
        <f t="shared" si="3"/>
        <v>0</v>
      </c>
    </row>
    <row r="24" spans="1:14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9">
        <v>7</v>
      </c>
      <c r="K24" s="37">
        <f t="shared" si="2"/>
        <v>7</v>
      </c>
      <c r="L24" s="37">
        <f>IF(OR(G24&gt;0, ISBLANK(D24)), E24*'Dashboard - Exams'!$G$6*K24/10, 0)</f>
        <v>78.400000000000006</v>
      </c>
      <c r="M24" s="28">
        <v>2</v>
      </c>
      <c r="N24" s="17" t="b">
        <f t="shared" si="3"/>
        <v>0</v>
      </c>
    </row>
    <row r="25" spans="1:14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9">
        <v>7</v>
      </c>
      <c r="K25" s="37">
        <f t="shared" si="2"/>
        <v>7</v>
      </c>
      <c r="L25" s="37">
        <f>IF(OR(G25&gt;0, ISBLANK(D25)), E25*'Dashboard - Exams'!$G$6*K25/10, 0)</f>
        <v>58.8</v>
      </c>
      <c r="M25" s="28">
        <v>2</v>
      </c>
      <c r="N25" s="17" t="b">
        <f t="shared" si="3"/>
        <v>0</v>
      </c>
    </row>
    <row r="26" spans="1:14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9">
        <v>7</v>
      </c>
      <c r="K26" s="37">
        <f t="shared" si="2"/>
        <v>7</v>
      </c>
      <c r="L26" s="37">
        <f>IF(OR(G26&gt;0, ISBLANK(D26)), E26*'Dashboard - Exams'!$G$6*K26/10, 0)</f>
        <v>98</v>
      </c>
      <c r="M26" s="28">
        <v>2</v>
      </c>
      <c r="N26" s="17" t="b">
        <f t="shared" si="3"/>
        <v>0</v>
      </c>
    </row>
    <row r="27" spans="1:14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9">
        <v>7</v>
      </c>
      <c r="K27" s="37">
        <f t="shared" si="2"/>
        <v>7</v>
      </c>
      <c r="L27" s="37">
        <f>IF(OR(G27&gt;0, ISBLANK(D27)), E27*'Dashboard - Exams'!$G$6*K27/10, 0)</f>
        <v>58.8</v>
      </c>
      <c r="M27" s="28">
        <v>2</v>
      </c>
      <c r="N27" s="17" t="b">
        <f t="shared" si="3"/>
        <v>0</v>
      </c>
    </row>
    <row r="28" spans="1:14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9">
        <v>7</v>
      </c>
      <c r="K28" s="37">
        <f t="shared" si="2"/>
        <v>7</v>
      </c>
      <c r="L28" s="37">
        <f>IF(OR(G28&gt;0, ISBLANK(D28)), E28*'Dashboard - Exams'!$G$6*K28/10, 0)</f>
        <v>98</v>
      </c>
      <c r="M28" s="28">
        <v>2</v>
      </c>
      <c r="N28" s="17" t="b">
        <f t="shared" si="3"/>
        <v>0</v>
      </c>
    </row>
    <row r="29" spans="1:14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9">
        <v>7</v>
      </c>
      <c r="K29" s="37">
        <f t="shared" si="2"/>
        <v>7</v>
      </c>
      <c r="L29" s="37">
        <f>IF(OR(G29&gt;0, ISBLANK(D29)), E29*'Dashboard - Exams'!$G$6*K29/10, 0)</f>
        <v>58.8</v>
      </c>
      <c r="M29" s="28">
        <v>2</v>
      </c>
      <c r="N29" s="17" t="b">
        <f t="shared" si="3"/>
        <v>0</v>
      </c>
    </row>
    <row r="30" spans="1:14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9">
        <v>7</v>
      </c>
      <c r="K30" s="37">
        <f t="shared" si="2"/>
        <v>7</v>
      </c>
      <c r="L30" s="37">
        <f>IF(OR(G30&gt;0, ISBLANK(D30)), E30*'Dashboard - Exams'!$G$6*K30/10, 0)</f>
        <v>19.600000000000001</v>
      </c>
      <c r="M30" s="28">
        <v>2</v>
      </c>
      <c r="N30" s="17" t="b">
        <f t="shared" si="3"/>
        <v>0</v>
      </c>
    </row>
    <row r="31" spans="1:14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9">
        <v>7</v>
      </c>
      <c r="K31" s="37">
        <f t="shared" si="2"/>
        <v>7</v>
      </c>
      <c r="L31" s="37">
        <f>IF(OR(G31&gt;0, ISBLANK(D31)), E31*'Dashboard - Exams'!$G$6*K31/10, 0)</f>
        <v>78.400000000000006</v>
      </c>
      <c r="M31" s="28">
        <v>2</v>
      </c>
      <c r="N31" s="17" t="b">
        <f t="shared" si="3"/>
        <v>0</v>
      </c>
    </row>
    <row r="32" spans="1:14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9">
        <v>7</v>
      </c>
      <c r="K32" s="37">
        <f t="shared" si="2"/>
        <v>7</v>
      </c>
      <c r="L32" s="37">
        <f>IF(OR(G32&gt;0, ISBLANK(D32)), E32*'Dashboard - Exams'!$G$6*K32/10, 0)</f>
        <v>58.8</v>
      </c>
      <c r="M32" s="28">
        <v>2</v>
      </c>
      <c r="N32" s="17" t="b">
        <f t="shared" si="3"/>
        <v>0</v>
      </c>
    </row>
    <row r="33" spans="1:14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9">
        <v>7</v>
      </c>
      <c r="K33" s="37">
        <f t="shared" si="2"/>
        <v>7</v>
      </c>
      <c r="L33" s="37">
        <f>IF(OR(G33&gt;0, ISBLANK(D33)), E33*'Dashboard - Exams'!$G$6*K33/10, 0)</f>
        <v>58.8</v>
      </c>
      <c r="M33" s="28">
        <v>2</v>
      </c>
      <c r="N33" s="17" t="b">
        <f t="shared" si="3"/>
        <v>0</v>
      </c>
    </row>
    <row r="34" spans="1:14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9">
        <v>7</v>
      </c>
      <c r="K34" s="37">
        <f t="shared" si="2"/>
        <v>7</v>
      </c>
      <c r="L34" s="37">
        <f>IF(OR(G34&gt;0, ISBLANK(D34)), E34*'Dashboard - Exams'!$G$6*K34/10, 0)</f>
        <v>78.400000000000006</v>
      </c>
      <c r="M34" s="28">
        <v>2</v>
      </c>
      <c r="N34" s="17" t="b">
        <f t="shared" si="3"/>
        <v>0</v>
      </c>
    </row>
    <row r="35" spans="1:14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9">
        <v>7</v>
      </c>
      <c r="K35" s="37">
        <f t="shared" si="2"/>
        <v>7</v>
      </c>
      <c r="L35" s="37">
        <f>IF(OR(G35&gt;0, ISBLANK(D35)), E35*'Dashboard - Exams'!$G$6*K35/10, 0)</f>
        <v>98</v>
      </c>
      <c r="M35" s="28">
        <v>2</v>
      </c>
      <c r="N35" s="17" t="b">
        <f t="shared" si="3"/>
        <v>0</v>
      </c>
    </row>
    <row r="36" spans="1:14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9">
        <v>7</v>
      </c>
      <c r="K36" s="37">
        <f t="shared" si="2"/>
        <v>7</v>
      </c>
      <c r="L36" s="37">
        <f>IF(OR(G36&gt;0, ISBLANK(D36)), E36*'Dashboard - Exams'!$G$6*K36/10, 0)</f>
        <v>98</v>
      </c>
      <c r="M36" s="28">
        <v>3</v>
      </c>
      <c r="N36" s="17" t="b">
        <f t="shared" si="3"/>
        <v>0</v>
      </c>
    </row>
    <row r="37" spans="1:14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9">
        <v>7</v>
      </c>
      <c r="K37" s="37">
        <f t="shared" si="2"/>
        <v>7</v>
      </c>
      <c r="L37" s="37">
        <f>IF(OR(G37&gt;0, ISBLANK(D37)), E37*'Dashboard - Exams'!$G$6*K37/10, 0)</f>
        <v>78.400000000000006</v>
      </c>
      <c r="M37" s="28">
        <v>3</v>
      </c>
      <c r="N37" s="17" t="b">
        <f t="shared" si="3"/>
        <v>0</v>
      </c>
    </row>
    <row r="38" spans="1:14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9">
        <v>7</v>
      </c>
      <c r="K38" s="37">
        <f t="shared" si="2"/>
        <v>7</v>
      </c>
      <c r="L38" s="37">
        <f>IF(OR(G38&gt;0, ISBLANK(D38)), E38*'Dashboard - Exams'!$G$6*K38/10, 0)</f>
        <v>58.8</v>
      </c>
      <c r="M38" s="28">
        <v>3</v>
      </c>
      <c r="N38" s="17" t="b">
        <f t="shared" si="3"/>
        <v>0</v>
      </c>
    </row>
    <row r="39" spans="1:14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9">
        <v>7</v>
      </c>
      <c r="K39" s="37">
        <f t="shared" si="2"/>
        <v>7</v>
      </c>
      <c r="L39" s="37">
        <f>IF(OR(G39&gt;0, ISBLANK(D39)), E39*'Dashboard - Exams'!$G$6*K39/10, 0)</f>
        <v>58.8</v>
      </c>
      <c r="M39" s="28">
        <v>3</v>
      </c>
      <c r="N39" s="17" t="b">
        <f t="shared" si="3"/>
        <v>0</v>
      </c>
    </row>
    <row r="40" spans="1:14" x14ac:dyDescent="0.25">
      <c r="A40" s="27"/>
      <c r="B40" s="17" t="s">
        <v>1</v>
      </c>
      <c r="C40" s="37">
        <v>2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9">
        <v>7</v>
      </c>
      <c r="K40" s="37">
        <f t="shared" si="2"/>
        <v>7</v>
      </c>
      <c r="L40" s="37">
        <f>IF(OR(G40&gt;0, ISBLANK(D40)), E40*'Dashboard - Exams'!$G$6*K40/10, 0)</f>
        <v>294</v>
      </c>
      <c r="M40" s="28">
        <v>3</v>
      </c>
      <c r="N40" s="17" t="b">
        <f t="shared" si="3"/>
        <v>0</v>
      </c>
    </row>
    <row r="41" spans="1:14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9">
        <v>7</v>
      </c>
      <c r="K41" s="37">
        <f t="shared" si="2"/>
        <v>7</v>
      </c>
      <c r="L41" s="37">
        <f>IF(OR(G41&gt;0, ISBLANK(D41)), E41*'Dashboard - Exams'!$G$6*K41/10, 0)</f>
        <v>294</v>
      </c>
      <c r="M41" s="28" t="s">
        <v>59</v>
      </c>
      <c r="N41" s="17" t="b">
        <f t="shared" si="3"/>
        <v>0</v>
      </c>
    </row>
    <row r="42" spans="1:14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9">
        <v>7</v>
      </c>
      <c r="K42" s="37">
        <f t="shared" si="2"/>
        <v>7</v>
      </c>
      <c r="L42" s="37">
        <f>IF(OR(G42&gt;0, ISBLANK(D42)), E42*'Dashboard - Exams'!$G$6*K42/10, 0)</f>
        <v>78.400000000000006</v>
      </c>
      <c r="M42" s="28" t="s">
        <v>59</v>
      </c>
      <c r="N42" s="17" t="b">
        <f t="shared" si="3"/>
        <v>0</v>
      </c>
    </row>
    <row r="43" spans="1:14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9">
        <v>7</v>
      </c>
      <c r="K43" s="37">
        <f t="shared" si="2"/>
        <v>7</v>
      </c>
      <c r="L43" s="37">
        <f>IF(OR(G43&gt;0, ISBLANK(D43)), E43*'Dashboard - Exams'!$G$6*K43/10, 0)</f>
        <v>19.600000000000001</v>
      </c>
      <c r="M43" s="28" t="s">
        <v>59</v>
      </c>
      <c r="N43" s="17" t="b">
        <f t="shared" si="3"/>
        <v>0</v>
      </c>
    </row>
    <row r="44" spans="1:14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9">
        <v>7</v>
      </c>
      <c r="K44" s="37">
        <f t="shared" si="2"/>
        <v>7</v>
      </c>
      <c r="L44" s="37">
        <f>IF(OR(G44&gt;0, ISBLANK(D44)), E44*'Dashboard - Exams'!$G$6*K44/10, 0)</f>
        <v>39.200000000000003</v>
      </c>
      <c r="M44" s="28" t="s">
        <v>59</v>
      </c>
      <c r="N44" s="17" t="b">
        <f t="shared" si="3"/>
        <v>0</v>
      </c>
    </row>
    <row r="45" spans="1:14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9">
        <v>7</v>
      </c>
      <c r="K45" s="37">
        <f t="shared" si="2"/>
        <v>7</v>
      </c>
      <c r="L45" s="37">
        <f>IF(OR(G45&gt;0, ISBLANK(D45)), E45*'Dashboard - Exams'!$G$6*K45/10, 0)</f>
        <v>98</v>
      </c>
      <c r="M45" s="28" t="s">
        <v>59</v>
      </c>
      <c r="N45" s="17" t="b">
        <f t="shared" si="3"/>
        <v>0</v>
      </c>
    </row>
    <row r="46" spans="1:14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9">
        <v>7</v>
      </c>
      <c r="K46" s="37">
        <f t="shared" si="2"/>
        <v>7</v>
      </c>
      <c r="L46" s="37">
        <f>IF(OR(G46&gt;0, ISBLANK(D46)), E46*'Dashboard - Exams'!$G$6*K46/10, 0)</f>
        <v>58.8</v>
      </c>
      <c r="M46" s="28" t="s">
        <v>59</v>
      </c>
      <c r="N46" s="17" t="b">
        <f t="shared" si="3"/>
        <v>0</v>
      </c>
    </row>
  </sheetData>
  <sortState xmlns:xlrd2="http://schemas.microsoft.com/office/spreadsheetml/2017/richdata2" ref="B2:N46">
    <sortCondition ref="M2:M46"/>
  </sortState>
  <phoneticPr fontId="1" type="noConversion"/>
  <conditionalFormatting sqref="F2:F46">
    <cfRule type="expression" dxfId="17" priority="25">
      <formula>$F2="Definitive"</formula>
    </cfRule>
  </conditionalFormatting>
  <conditionalFormatting sqref="M2:M46">
    <cfRule type="expression" dxfId="16" priority="39">
      <formula>$M2="Minor"</formula>
    </cfRule>
    <cfRule type="expression" dxfId="15" priority="40">
      <formula>$M2=1</formula>
    </cfRule>
    <cfRule type="expression" dxfId="14" priority="41">
      <formula>$M2=2</formula>
    </cfRule>
    <cfRule type="expression" dxfId="13" priority="42">
      <formula>$M2=3</formula>
    </cfRule>
  </conditionalFormatting>
  <conditionalFormatting sqref="N2:N46">
    <cfRule type="expression" dxfId="12" priority="17">
      <formula>N2=FALSE</formula>
    </cfRule>
    <cfRule type="expression" dxfId="11" priority="18">
      <formula>N2=TRUE</formula>
    </cfRule>
  </conditionalFormatting>
  <conditionalFormatting sqref="G2:G46">
    <cfRule type="expression" dxfId="10" priority="1">
      <formula>AND(NOT(ISBLANK($D2)), $D2&lt;5, NOT($G2=1))</formula>
    </cfRule>
  </conditionalFormatting>
  <conditionalFormatting sqref="B2:B46 I2:I46 K2:K46 G2:G46">
    <cfRule type="expression" dxfId="9" priority="80">
      <formula>AND($D2&lt;5, NOT(ISBLANK($D2)))</formula>
    </cfRule>
    <cfRule type="expression" dxfId="8" priority="81">
      <formula>AND($G2=1, #REF!&gt;0, NOT(ISBLANK($D2)))</formula>
    </cfRule>
    <cfRule type="expression" dxfId="7" priority="82">
      <formula>ISBLANK($D2)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B2" sqref="B2:B18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83</v>
      </c>
      <c r="G1" s="4" t="s">
        <v>73</v>
      </c>
      <c r="H1" s="4" t="s">
        <v>102</v>
      </c>
      <c r="I1" s="4" t="s">
        <v>72</v>
      </c>
      <c r="J1" s="4" t="s">
        <v>103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MROUND(SUMPRODUCT(
_xlfn._xlws.FILTER(_xlfn._xlws.FILTER(Courses!$B$2:$M$46, IF(NOT(ISERROR(SEARCH(LEFT(B2,FIND(" ",B2)-1), Courses!$B$2:$B$46, 1))), TRUE, FALSE)), {0,0,0,0,0,0,0,1,0,0,0,0}),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9</v>
      </c>
      <c r="H2" s="1">
        <f>G2*D2/SUM($D$2:$D$28)</f>
        <v>0.3</v>
      </c>
      <c r="I2" s="1" cm="1">
        <f t="array" ref="I2">MROUND(SUMPRODUCT(
_xlfn._xlws.FILTER(_xlfn._xlws.FILTER(Courses!$B$2:$M$46, IF(NOT(ISERROR(SEARCH(LEFT(B2,FIND(" ",B2)-1), Courses!$B$2:$B$46, 1))), TRUE, FALSE)), {0,0,0,0,0,0,0,0,0,1,0,0}),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7</v>
      </c>
      <c r="J2" s="1">
        <f>I2*D2/SUM($D$2:$D$28)</f>
        <v>0.23333333333333334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1</v>
      </c>
      <c r="G3" s="1" cm="1">
        <f t="array" ref="G3">MROUND(SUMPRODUCT(
_xlfn._xlws.FILTER(_xlfn._xlws.FILTER(Courses!$B$2:$M$46, IF(NOT(ISERROR(SEARCH(LEFT(B3,FIND(" ",B3)-1), Courses!$B$2:$B$46, 1))), TRUE, FALSE)), {0,0,0,0,0,0,0,1,0,0,0,0}),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H3" s="1">
        <f t="shared" ref="H3:H28" si="0">G3*D3/SUM($D$2:$D$28)</f>
        <v>0.25</v>
      </c>
      <c r="I3" s="1" cm="1">
        <f t="array" ref="I3">MROUND(SUMPRODUCT(
_xlfn._xlws.FILTER(_xlfn._xlws.FILTER(Courses!$B$2:$M$46, IF(NOT(ISERROR(SEARCH(LEFT(B3,FIND(" ",B3)-1), Courses!$B$2:$B$46, 1))), TRUE, FALSE)), {0,0,0,0,0,0,0,0,0,1,0,0}),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J3" s="1">
        <f t="shared" ref="J3:J28" si="1">I3*D3/SUM($D$2:$D$28)</f>
        <v>0.25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1.5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MROUND(SUMPRODUCT(
_xlfn._xlws.FILTER(_xlfn._xlws.FILTER(Courses!$B$2:$M$46, IF(NOT(ISERROR(SEARCH(LEFT(B4,FIND(" ",B4)-1), Courses!$B$2:$B$46, 1))), TRUE, FALSE)), {0,0,0,0,0,0,0,1,0,0,0,0}),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9</v>
      </c>
      <c r="H4" s="1">
        <f t="shared" si="0"/>
        <v>0.3</v>
      </c>
      <c r="I4" s="1" cm="1">
        <f t="array" ref="I4">MROUND(SUMPRODUCT(
_xlfn._xlws.FILTER(_xlfn._xlws.FILTER(Courses!$B$2:$M$46, IF(NOT(ISERROR(SEARCH(LEFT(B4,FIND(" ",B4)-1), Courses!$B$2:$B$46, 1))), TRUE, FALSE)), {0,0,0,0,0,0,0,0,0,1,0,0}),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7</v>
      </c>
      <c r="J4" s="1">
        <f t="shared" si="1"/>
        <v>0.23333333333333334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1.5</v>
      </c>
      <c r="D5" s="1">
        <v>5</v>
      </c>
      <c r="E5" s="34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MROUND(SUMPRODUCT(
_xlfn._xlws.FILTER(_xlfn._xlws.FILTER(Courses!$B$2:$M$46, IF(NOT(ISERROR(SEARCH(LEFT(B5,FIND(" ",B5)-1), Courses!$B$2:$B$46, 1))), TRUE, FALSE)), {0,0,0,0,0,0,0,1,0,0,0,0}),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9</v>
      </c>
      <c r="H5" s="1">
        <f t="shared" si="0"/>
        <v>0.25</v>
      </c>
      <c r="I5" s="1" cm="1">
        <f t="array" ref="I5">MROUND(SUMPRODUCT(
_xlfn._xlws.FILTER(_xlfn._xlws.FILTER(Courses!$B$2:$M$46, IF(NOT(ISERROR(SEARCH(LEFT(B5,FIND(" ",B5)-1), Courses!$B$2:$B$46, 1))), TRUE, FALSE)), {0,0,0,0,0,0,0,0,0,1,0,0}),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7</v>
      </c>
      <c r="J5" s="1">
        <f t="shared" si="1"/>
        <v>0.19444444444444445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MROUND(SUMPRODUCT(
_xlfn._xlws.FILTER(_xlfn._xlws.FILTER(Courses!$B$2:$M$46, IF(NOT(ISERROR(SEARCH(LEFT(B6,FIND(" ",B6)-1), Courses!$B$2:$B$46, 1))), TRUE, FALSE)), {0,0,0,0,0,0,0,1,0,0,0,0}),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9</v>
      </c>
      <c r="H6" s="1">
        <f t="shared" si="0"/>
        <v>0.45</v>
      </c>
      <c r="I6" s="1" cm="1">
        <f t="array" ref="I6">MROUND(SUMPRODUCT(
_xlfn._xlws.FILTER(_xlfn._xlws.FILTER(Courses!$B$2:$M$46, IF(NOT(ISERROR(SEARCH(LEFT(B6,FIND(" ",B6)-1), Courses!$B$2:$B$46, 1))), TRUE, FALSE)), {0,0,0,0,0,0,0,0,0,1,0,0}),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7</v>
      </c>
      <c r="J6" s="1">
        <f t="shared" si="1"/>
        <v>0.35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MROUND(SUMPRODUCT(
_xlfn._xlws.FILTER(_xlfn._xlws.FILTER(Courses!$B$2:$M$46, IF(NOT(ISERROR(SEARCH(LEFT(B7,FIND(" ",B7)-1), Courses!$B$2:$B$46, 1))), TRUE, FALSE)), {0,0,0,0,0,0,0,1,0,0,0,0}),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9</v>
      </c>
      <c r="H7" s="1">
        <f t="shared" si="0"/>
        <v>0.1</v>
      </c>
      <c r="I7" s="1" cm="1">
        <f t="array" ref="I7">MROUND(SUMPRODUCT(
_xlfn._xlws.FILTER(_xlfn._xlws.FILTER(Courses!$B$2:$M$46, IF(NOT(ISERROR(SEARCH(LEFT(B7,FIND(" ",B7)-1), Courses!$B$2:$B$46, 1))), TRUE, FALSE)), {0,0,0,0,0,0,0,0,0,1,0,0}),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7</v>
      </c>
      <c r="J7" s="1">
        <f t="shared" si="1"/>
        <v>7.7777777777777779E-2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MROUND(SUMPRODUCT(
_xlfn._xlws.FILTER(_xlfn._xlws.FILTER(Courses!$B$2:$M$46, IF(NOT(ISERROR(SEARCH(LEFT(B8,FIND(" ",B8)-1), Courses!$B$2:$B$46, 1))), TRUE, FALSE)), {0,0,0,0,0,0,0,1,0,0,0,0}),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9</v>
      </c>
      <c r="H8" s="1">
        <f t="shared" si="0"/>
        <v>0.35</v>
      </c>
      <c r="I8" s="1" cm="1">
        <f t="array" ref="I8">MROUND(SUMPRODUCT(
_xlfn._xlws.FILTER(_xlfn._xlws.FILTER(Courses!$B$2:$M$46, IF(NOT(ISERROR(SEARCH(LEFT(B8,FIND(" ",B8)-1), Courses!$B$2:$B$46, 1))), TRUE, FALSE)), {0,0,0,0,0,0,0,0,0,1,0,0}),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7</v>
      </c>
      <c r="J8" s="1">
        <f t="shared" si="1"/>
        <v>0.2722222222222222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MROUND(SUMPRODUCT(
_xlfn._xlws.FILTER(_xlfn._xlws.FILTER(Courses!$B$2:$M$46, IF(NOT(ISERROR(SEARCH(LEFT(B9,FIND(" ",B9)-1), Courses!$B$2:$B$46, 1))), TRUE, FALSE)), {0,0,0,0,0,0,0,1,0,0,0,0}),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9</v>
      </c>
      <c r="H9" s="1">
        <f t="shared" si="0"/>
        <v>0.25</v>
      </c>
      <c r="I9" s="1" cm="1">
        <f t="array" ref="I9">MROUND(SUMPRODUCT(
_xlfn._xlws.FILTER(_xlfn._xlws.FILTER(Courses!$B$2:$M$46, IF(NOT(ISERROR(SEARCH(LEFT(B9,FIND(" ",B9)-1), Courses!$B$2:$B$46, 1))), TRUE, FALSE)), {0,0,0,0,0,0,0,0,0,1,0,0}),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7</v>
      </c>
      <c r="J9" s="1">
        <f t="shared" si="1"/>
        <v>0.19444444444444445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MROUND(SUMPRODUCT(
_xlfn._xlws.FILTER(_xlfn._xlws.FILTER(Courses!$B$2:$M$46, IF(NOT(ISERROR(SEARCH(LEFT(B10,FIND(" ",B10)-1), Courses!$B$2:$B$46, 1))), TRUE, FALSE)), {0,0,0,0,0,0,0,1,0,0,0,0}),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9</v>
      </c>
      <c r="H10" s="1">
        <f t="shared" si="0"/>
        <v>0.45</v>
      </c>
      <c r="I10" s="1" cm="1">
        <f t="array" ref="I10">MROUND(SUMPRODUCT(
_xlfn._xlws.FILTER(_xlfn._xlws.FILTER(Courses!$B$2:$M$46, IF(NOT(ISERROR(SEARCH(LEFT(B10,FIND(" ",B10)-1), Courses!$B$2:$B$46, 1))), TRUE, FALSE)), {0,0,0,0,0,0,0,0,0,1,0,0}),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7</v>
      </c>
      <c r="J10" s="1">
        <f t="shared" si="1"/>
        <v>0.35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1.5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MROUND(SUMPRODUCT(
_xlfn._xlws.FILTER(_xlfn._xlws.FILTER(Courses!$B$2:$M$46, IF(NOT(ISERROR(SEARCH(LEFT(B11,FIND(" ",B11)-1), Courses!$B$2:$B$46, 1))), TRUE, FALSE)), {0,0,0,0,0,0,0,1,0,0,0,0}),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6</v>
      </c>
      <c r="H11" s="1">
        <f t="shared" si="0"/>
        <v>0.2</v>
      </c>
      <c r="I11" s="1" cm="1">
        <f t="array" ref="I11">MROUND(SUMPRODUCT(
_xlfn._xlws.FILTER(_xlfn._xlws.FILTER(Courses!$B$2:$M$46, IF(NOT(ISERROR(SEARCH(LEFT(B11,FIND(" ",B11)-1), Courses!$B$2:$B$46, 1))), TRUE, FALSE)), {0,0,0,0,0,0,0,0,0,1,0,0}),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5</v>
      </c>
      <c r="J11" s="1">
        <f t="shared" si="1"/>
        <v>0.16666666666666666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MROUND(SUMPRODUCT(
_xlfn._xlws.FILTER(_xlfn._xlws.FILTER(Courses!$B$2:$M$46, IF(NOT(ISERROR(SEARCH(LEFT(B12,FIND(" ",B12)-1), Courses!$B$2:$B$46, 1))), TRUE, FALSE)), {0,0,0,0,0,0,0,1,0,0,0,0}),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9</v>
      </c>
      <c r="H12" s="1">
        <f t="shared" si="0"/>
        <v>0.4</v>
      </c>
      <c r="I12" s="1" cm="1">
        <f t="array" ref="I12">MROUND(SUMPRODUCT(
_xlfn._xlws.FILTER(_xlfn._xlws.FILTER(Courses!$B$2:$M$46, IF(NOT(ISERROR(SEARCH(LEFT(B12,FIND(" ",B12)-1), Courses!$B$2:$B$46, 1))), TRUE, FALSE)), {0,0,0,0,0,0,0,0,0,1,0,0}),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7</v>
      </c>
      <c r="J12" s="1">
        <f t="shared" si="1"/>
        <v>0.31111111111111112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MROUND(SUMPRODUCT(
_xlfn._xlws.FILTER(_xlfn._xlws.FILTER(Courses!$B$2:$M$46, IF(NOT(ISERROR(SEARCH(LEFT(B13,FIND(" ",B13)-1), Courses!$B$2:$B$46, 1))), TRUE, FALSE)), {0,0,0,0,0,0,0,1,0,0,0,0}),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9</v>
      </c>
      <c r="H13" s="1">
        <f t="shared" si="0"/>
        <v>0.35</v>
      </c>
      <c r="I13" s="1" cm="1">
        <f t="array" ref="I13">MROUND(SUMPRODUCT(
_xlfn._xlws.FILTER(_xlfn._xlws.FILTER(Courses!$B$2:$M$46, IF(NOT(ISERROR(SEARCH(LEFT(B13,FIND(" ",B13)-1), Courses!$B$2:$B$46, 1))), TRUE, FALSE)), {0,0,0,0,0,0,0,0,0,1,0,0}),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7</v>
      </c>
      <c r="J13" s="1">
        <f t="shared" si="1"/>
        <v>0.2722222222222222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MROUND(SUMPRODUCT(
_xlfn._xlws.FILTER(_xlfn._xlws.FILTER(Courses!$B$2:$M$46, IF(NOT(ISERROR(SEARCH(LEFT(B14,FIND(" ",B14)-1), Courses!$B$2:$B$46, 1))), TRUE, FALSE)), {0,0,0,0,0,0,0,1,0,0,0,0}),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9</v>
      </c>
      <c r="H14" s="1">
        <f t="shared" si="0"/>
        <v>0.4</v>
      </c>
      <c r="I14" s="1" cm="1">
        <f t="array" ref="I14">MROUND(SUMPRODUCT(
_xlfn._xlws.FILTER(_xlfn._xlws.FILTER(Courses!$B$2:$M$46, IF(NOT(ISERROR(SEARCH(LEFT(B14,FIND(" ",B14)-1), Courses!$B$2:$B$46, 1))), TRUE, FALSE)), {0,0,0,0,0,0,0,0,0,1,0,0}),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7</v>
      </c>
      <c r="J14" s="1">
        <f t="shared" si="1"/>
        <v>0.31111111111111112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MROUND(SUMPRODUCT(
_xlfn._xlws.FILTER(_xlfn._xlws.FILTER(Courses!$B$2:$M$46, IF(NOT(ISERROR(SEARCH(LEFT(B15,FIND(" ",B15)-1), Courses!$B$2:$B$46, 1))), TRUE, FALSE)), {0,0,0,0,0,0,0,1,0,0,0,0}),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9</v>
      </c>
      <c r="H15" s="1">
        <f t="shared" si="0"/>
        <v>0.4</v>
      </c>
      <c r="I15" s="1" cm="1">
        <f t="array" ref="I15">MROUND(SUMPRODUCT(
_xlfn._xlws.FILTER(_xlfn._xlws.FILTER(Courses!$B$2:$M$46, IF(NOT(ISERROR(SEARCH(LEFT(B15,FIND(" ",B15)-1), Courses!$B$2:$B$46, 1))), TRUE, FALSE)), {0,0,0,0,0,0,0,0,0,1,0,0}),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7</v>
      </c>
      <c r="J15" s="1">
        <f t="shared" si="1"/>
        <v>0.31111111111111112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MROUND(SUMPRODUCT(
_xlfn._xlws.FILTER(_xlfn._xlws.FILTER(Courses!$B$2:$M$46, IF(NOT(ISERROR(SEARCH(LEFT(B16,FIND(" ",B16)-1), Courses!$B$2:$B$46, 1))), TRUE, FALSE)), {0,0,0,0,0,0,0,1,0,0,0,0}),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9</v>
      </c>
      <c r="H16" s="1">
        <f t="shared" si="0"/>
        <v>0.3</v>
      </c>
      <c r="I16" s="1" cm="1">
        <f t="array" ref="I16">MROUND(SUMPRODUCT(
_xlfn._xlws.FILTER(_xlfn._xlws.FILTER(Courses!$B$2:$M$46, IF(NOT(ISERROR(SEARCH(LEFT(B16,FIND(" ",B16)-1), Courses!$B$2:$B$46, 1))), TRUE, FALSE)), {0,0,0,0,0,0,0,0,0,1,0,0}),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7</v>
      </c>
      <c r="J16" s="1">
        <f t="shared" si="1"/>
        <v>0.23333333333333334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MROUND(SUMPRODUCT(
_xlfn._xlws.FILTER(_xlfn._xlws.FILTER(Courses!$B$2:$M$46, IF(NOT(ISERROR(SEARCH(LEFT(B17,FIND(" ",B17)-1), Courses!$B$2:$B$46, 1))), TRUE, FALSE)), {0,0,0,0,0,0,0,1,0,0,0,0}),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9</v>
      </c>
      <c r="H17" s="1">
        <f t="shared" si="0"/>
        <v>0.4</v>
      </c>
      <c r="I17" s="1" cm="1">
        <f t="array" ref="I17">MROUND(SUMPRODUCT(
_xlfn._xlws.FILTER(_xlfn._xlws.FILTER(Courses!$B$2:$M$46, IF(NOT(ISERROR(SEARCH(LEFT(B17,FIND(" ",B17)-1), Courses!$B$2:$B$46, 1))), TRUE, FALSE)), {0,0,0,0,0,0,0,0,0,1,0,0}),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7</v>
      </c>
      <c r="J17" s="1">
        <f t="shared" si="1"/>
        <v>0.31111111111111112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MROUND(SUMPRODUCT(
_xlfn._xlws.FILTER(_xlfn._xlws.FILTER(Courses!$B$2:$M$46, IF(NOT(ISERROR(SEARCH(LEFT(B18,FIND(" ",B18)-1), Courses!$B$2:$B$46, 1))), TRUE, FALSE)), {0,0,0,0,0,0,0,1,0,0,0,0}),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9</v>
      </c>
      <c r="H18" s="1">
        <f t="shared" si="0"/>
        <v>0.35</v>
      </c>
      <c r="I18" s="1" cm="1">
        <f t="array" ref="I18">MROUND(SUMPRODUCT(
_xlfn._xlws.FILTER(_xlfn._xlws.FILTER(Courses!$B$2:$M$46, IF(NOT(ISERROR(SEARCH(LEFT(B18,FIND(" ",B18)-1), Courses!$B$2:$B$46, 1))), TRUE, FALSE)), {0,0,0,0,0,0,0,0,0,1,0,0}),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7</v>
      </c>
      <c r="J18" s="1">
        <f t="shared" si="1"/>
        <v>0.2722222222222222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MROUND(SUMPRODUCT(
_xlfn._xlws.FILTER(_xlfn._xlws.FILTER(Courses!$B$2:$M$46, IF(NOT(ISERROR(SEARCH(LEFT(B19,FIND(" ",B19)-1), Courses!$B$2:$B$46, 1))), TRUE, FALSE)), {0,0,0,0,0,0,0,1,0,0,0,0}),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9</v>
      </c>
      <c r="H19" s="1">
        <f t="shared" si="0"/>
        <v>0.4</v>
      </c>
      <c r="I19" s="1" cm="1">
        <f t="array" ref="I19">MROUND(SUMPRODUCT(
_xlfn._xlws.FILTER(_xlfn._xlws.FILTER(Courses!$B$2:$M$46, IF(NOT(ISERROR(SEARCH(LEFT(B19,FIND(" ",B19)-1), Courses!$B$2:$B$46, 1))), TRUE, FALSE)), {0,0,0,0,0,0,0,0,0,1,0,0}),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7</v>
      </c>
      <c r="J19" s="1">
        <f t="shared" si="1"/>
        <v>0.31111111111111112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MROUND(SUMPRODUCT(
_xlfn._xlws.FILTER(_xlfn._xlws.FILTER(Courses!$B$2:$M$46, IF(NOT(ISERROR(SEARCH(LEFT(B20,FIND(" ",B20)-1), Courses!$B$2:$B$46, 1))), TRUE, FALSE)), {0,0,0,0,0,0,0,1,0,0,0,0}),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9</v>
      </c>
      <c r="H20" s="1">
        <f t="shared" si="0"/>
        <v>0.3</v>
      </c>
      <c r="I20" s="1" cm="1">
        <f t="array" ref="I20">MROUND(SUMPRODUCT(
_xlfn._xlws.FILTER(_xlfn._xlws.FILTER(Courses!$B$2:$M$46, IF(NOT(ISERROR(SEARCH(LEFT(B20,FIND(" ",B20)-1), Courses!$B$2:$B$46, 1))), TRUE, FALSE)), {0,0,0,0,0,0,0,0,0,1,0,0}),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7</v>
      </c>
      <c r="J20" s="1">
        <f t="shared" si="1"/>
        <v>0.23333333333333334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MROUND(SUMPRODUCT(
_xlfn._xlws.FILTER(_xlfn._xlws.FILTER(Courses!$B$2:$M$46, IF(NOT(ISERROR(SEARCH(LEFT(B21,FIND(" ",B21)-1), Courses!$B$2:$B$46, 1))), TRUE, FALSE)), {0,0,0,0,0,0,0,1,0,0,0,0}),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9</v>
      </c>
      <c r="H21" s="1">
        <f t="shared" si="0"/>
        <v>0.75</v>
      </c>
      <c r="I21" s="1" cm="1">
        <f t="array" ref="I21">MROUND(SUMPRODUCT(
_xlfn._xlws.FILTER(_xlfn._xlws.FILTER(Courses!$B$2:$M$46, IF(NOT(ISERROR(SEARCH(LEFT(B21,FIND(" ",B21)-1), Courses!$B$2:$B$46, 1))), TRUE, FALSE)), {0,0,0,0,0,0,0,0,0,1,0,0}),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7</v>
      </c>
      <c r="J21" s="1">
        <f t="shared" si="1"/>
        <v>0.58333333333333337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MROUND(SUMPRODUCT(
_xlfn._xlws.FILTER(_xlfn._xlws.FILTER(Courses!$B$2:$M$46, IF(NOT(ISERROR(SEARCH(LEFT(B22,FIND(" ",B22)-1), Courses!$B$2:$B$46, 1))), TRUE, FALSE)), {0,0,0,0,0,0,0,1,0,0,0,0}),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9</v>
      </c>
      <c r="H22" s="1">
        <f t="shared" si="0"/>
        <v>0.45</v>
      </c>
      <c r="I22" s="1" cm="1">
        <f t="array" ref="I22">MROUND(SUMPRODUCT(
_xlfn._xlws.FILTER(_xlfn._xlws.FILTER(Courses!$B$2:$M$46, IF(NOT(ISERROR(SEARCH(LEFT(B22,FIND(" ",B22)-1), Courses!$B$2:$B$46, 1))), TRUE, FALSE)), {0,0,0,0,0,0,0,0,0,1,0,0}),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7</v>
      </c>
      <c r="J22" s="1">
        <f t="shared" si="1"/>
        <v>0.35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MROUND(SUMPRODUCT(
_xlfn._xlws.FILTER(_xlfn._xlws.FILTER(Courses!$B$2:$M$46, IF(NOT(ISERROR(SEARCH(LEFT(B23,FIND(" ",B23)-1), Courses!$B$2:$B$46, 1))), TRUE, FALSE)), {0,0,0,0,0,0,0,1,0,0,0,0}),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9</v>
      </c>
      <c r="H23" s="1">
        <f t="shared" si="0"/>
        <v>0.1</v>
      </c>
      <c r="I23" s="1" cm="1">
        <f t="array" ref="I23">MROUND(SUMPRODUCT(
_xlfn._xlws.FILTER(_xlfn._xlws.FILTER(Courses!$B$2:$M$46, IF(NOT(ISERROR(SEARCH(LEFT(B23,FIND(" ",B23)-1), Courses!$B$2:$B$46, 1))), TRUE, FALSE)), {0,0,0,0,0,0,0,0,0,1,0,0}),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7</v>
      </c>
      <c r="J23" s="1">
        <f t="shared" si="1"/>
        <v>7.7777777777777779E-2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MROUND(SUMPRODUCT(
_xlfn._xlws.FILTER(_xlfn._xlws.FILTER(Courses!$B$2:$M$46, IF(NOT(ISERROR(SEARCH(LEFT(B24,FIND(" ",B24)-1), Courses!$B$2:$B$46, 1))), TRUE, FALSE)), {0,0,0,0,0,0,0,1,0,0,0,0}),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9</v>
      </c>
      <c r="H24" s="1">
        <f t="shared" si="0"/>
        <v>0.2</v>
      </c>
      <c r="I24" s="1" cm="1">
        <f t="array" ref="I24">MROUND(SUMPRODUCT(
_xlfn._xlws.FILTER(_xlfn._xlws.FILTER(Courses!$B$2:$M$46, IF(NOT(ISERROR(SEARCH(LEFT(B24,FIND(" ",B24)-1), Courses!$B$2:$B$46, 1))), TRUE, FALSE)), {0,0,0,0,0,0,0,0,0,1,0,0}),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7</v>
      </c>
      <c r="J24" s="1">
        <f t="shared" si="1"/>
        <v>0.15555555555555556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MROUND(SUMPRODUCT(
_xlfn._xlws.FILTER(_xlfn._xlws.FILTER(Courses!$B$2:$M$46, IF(NOT(ISERROR(SEARCH(LEFT(B25,FIND(" ",B25)-1), Courses!$B$2:$B$46, 1))), TRUE, FALSE)), {0,0,0,0,0,0,0,1,0,0,0,0}),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9</v>
      </c>
      <c r="H25" s="1">
        <f t="shared" si="0"/>
        <v>0.75</v>
      </c>
      <c r="I25" s="1" cm="1">
        <f t="array" ref="I25">MROUND(SUMPRODUCT(
_xlfn._xlws.FILTER(_xlfn._xlws.FILTER(Courses!$B$2:$M$46, IF(NOT(ISERROR(SEARCH(LEFT(B25,FIND(" ",B25)-1), Courses!$B$2:$B$46, 1))), TRUE, FALSE)), {0,0,0,0,0,0,0,0,0,1,0,0}),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7</v>
      </c>
      <c r="J25" s="1">
        <f t="shared" si="1"/>
        <v>0.58333333333333337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MROUND(SUMPRODUCT(
_xlfn._xlws.FILTER(_xlfn._xlws.FILTER(Courses!$B$2:$M$46, IF(NOT(ISERROR(SEARCH(LEFT(B26,FIND(" ",B26)-1), Courses!$B$2:$B$46, 1))), TRUE, FALSE)), {0,0,0,0,0,0,0,1,0,0,0,0}),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9</v>
      </c>
      <c r="H26" s="1">
        <f t="shared" si="0"/>
        <v>0.05</v>
      </c>
      <c r="I26" s="1" cm="1">
        <f t="array" ref="I26">MROUND(SUMPRODUCT(
_xlfn._xlws.FILTER(_xlfn._xlws.FILTER(Courses!$B$2:$M$46, IF(NOT(ISERROR(SEARCH(LEFT(B26,FIND(" ",B26)-1), Courses!$B$2:$B$46, 1))), TRUE, FALSE)), {0,0,0,0,0,0,0,0,0,1,0,0}),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7</v>
      </c>
      <c r="J26" s="1">
        <f t="shared" si="1"/>
        <v>3.888888888888889E-2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MROUND(SUMPRODUCT(
_xlfn._xlws.FILTER(_xlfn._xlws.FILTER(Courses!$B$2:$M$46, IF(NOT(ISERROR(SEARCH(LEFT(B27,FIND(" ",B27)-1), Courses!$B$2:$B$46, 1))), TRUE, FALSE)), {0,0,0,0,0,0,0,1,0,0,0,0}),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9</v>
      </c>
      <c r="H27" s="1">
        <f t="shared" si="0"/>
        <v>0.25</v>
      </c>
      <c r="I27" s="1" cm="1">
        <f t="array" ref="I27">MROUND(SUMPRODUCT(
_xlfn._xlws.FILTER(_xlfn._xlws.FILTER(Courses!$B$2:$M$46, IF(NOT(ISERROR(SEARCH(LEFT(B27,FIND(" ",B27)-1), Courses!$B$2:$B$46, 1))), TRUE, FALSE)), {0,0,0,0,0,0,0,0,0,1,0,0}),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7</v>
      </c>
      <c r="J27" s="1">
        <f t="shared" si="1"/>
        <v>0.19444444444444445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MROUND(SUMPRODUCT(
_xlfn._xlws.FILTER(_xlfn._xlws.FILTER(Courses!$B$2:$M$46, IF(NOT(ISERROR(SEARCH(LEFT(B28,FIND(" ",B28)-1), Courses!$B$2:$B$46, 1))), TRUE, FALSE)), {0,0,0,0,0,0,0,1,0,0,0,0}),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9</v>
      </c>
      <c r="H28" s="1">
        <f t="shared" si="0"/>
        <v>0.15</v>
      </c>
      <c r="I28" s="1" cm="1">
        <f t="array" ref="I28">MROUND(SUMPRODUCT(
_xlfn._xlws.FILTER(_xlfn._xlws.FILTER(Courses!$B$2:$M$46, IF(NOT(ISERROR(SEARCH(LEFT(B28,FIND(" ",B28)-1), Courses!$B$2:$B$46, 1))), TRUE, FALSE)), {0,0,0,0,0,0,0,0,0,1,0,0}),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7</v>
      </c>
      <c r="J28" s="1">
        <f t="shared" si="1"/>
        <v>0.11666666666666667</v>
      </c>
    </row>
  </sheetData>
  <sortState xmlns:xlrd2="http://schemas.microsoft.com/office/spreadsheetml/2017/richdata2" ref="B2:J28">
    <sortCondition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2021-05-24T09:30:02Z</dcterms:modified>
</cp:coreProperties>
</file>