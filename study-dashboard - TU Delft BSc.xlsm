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18B02BD2-E547-4C5E-85F3-B659B326CAA7}" xr6:coauthVersionLast="46" xr6:coauthVersionMax="46" xr10:uidLastSave="{00000000-0000-0000-0000-000000000000}"/>
  <bookViews>
    <workbookView xWindow="25974" yWindow="-2078" windowWidth="34071" windowHeight="19779" activeTab="1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5" l="1" a="1"/>
  <c r="B29" i="5" s="1"/>
  <c r="J12" i="5" a="1"/>
  <c r="J12" i="5" s="1"/>
  <c r="B42" i="5" a="1"/>
  <c r="B42" i="5" s="1"/>
  <c r="I2" i="1" l="1"/>
  <c r="L19" i="1" l="1"/>
  <c r="L3" i="1"/>
  <c r="L20" i="1"/>
  <c r="L4" i="1"/>
  <c r="L21" i="1"/>
  <c r="L22" i="1"/>
  <c r="L23" i="1"/>
  <c r="L5" i="1"/>
  <c r="L6" i="1"/>
  <c r="L36" i="1"/>
  <c r="L37" i="1"/>
  <c r="L38" i="1"/>
  <c r="L39" i="1"/>
  <c r="L24" i="1"/>
  <c r="L25" i="1"/>
  <c r="L26" i="1"/>
  <c r="L7" i="1"/>
  <c r="L8" i="1"/>
  <c r="L9" i="1"/>
  <c r="L40" i="1"/>
  <c r="L27" i="1"/>
  <c r="L10" i="1"/>
  <c r="L11" i="1"/>
  <c r="L12" i="1"/>
  <c r="L28" i="1"/>
  <c r="L13" i="1"/>
  <c r="L41" i="1"/>
  <c r="L29" i="1"/>
  <c r="L30" i="1"/>
  <c r="L42" i="1"/>
  <c r="L43" i="1"/>
  <c r="L31" i="1"/>
  <c r="L32" i="1"/>
  <c r="L14" i="1"/>
  <c r="L15" i="1"/>
  <c r="L33" i="1"/>
  <c r="L34" i="1"/>
  <c r="L44" i="1"/>
  <c r="L45" i="1"/>
  <c r="L46" i="1"/>
  <c r="L35" i="1"/>
  <c r="L16" i="1"/>
  <c r="L17" i="1"/>
  <c r="L18" i="1"/>
  <c r="L2" i="1"/>
  <c r="I4" i="1" l="1"/>
  <c r="I22" i="1"/>
  <c r="I36" i="1"/>
  <c r="I38" i="1"/>
  <c r="I39" i="1"/>
  <c r="I24" i="1"/>
  <c r="I25" i="1"/>
  <c r="I40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F7" i="2" l="1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N22" i="1"/>
  <c r="N45" i="1"/>
  <c r="I27" i="2" s="1" a="1"/>
  <c r="I27" i="2" s="1"/>
  <c r="J27" i="2" s="1"/>
  <c r="N7" i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N14" i="1"/>
  <c r="B12" i="5" s="1" a="1"/>
  <c r="N32" i="1"/>
  <c r="M31" i="1"/>
  <c r="M39" i="1"/>
  <c r="G20" i="2" s="1" a="1"/>
  <c r="G20" i="2" s="1"/>
  <c r="H20" i="2" s="1"/>
  <c r="C2" i="5"/>
  <c r="J40" i="1"/>
  <c r="J17" i="1"/>
  <c r="J9" i="1"/>
  <c r="J12" i="1"/>
  <c r="J43" i="1"/>
  <c r="I26" i="2" s="1" a="1"/>
  <c r="I26" i="2" s="1"/>
  <c r="J26" i="2" s="1"/>
  <c r="J11" i="1"/>
  <c r="J2" i="1"/>
  <c r="J29" i="5" s="1" a="1"/>
  <c r="J29" i="5" s="1"/>
  <c r="J22" i="1"/>
  <c r="J10" i="1"/>
  <c r="J36" i="1"/>
  <c r="J3" i="1"/>
  <c r="J41" i="1"/>
  <c r="J46" i="1"/>
  <c r="J38" i="1"/>
  <c r="J27" i="1"/>
  <c r="J44" i="1"/>
  <c r="I23" i="2" s="1" a="1"/>
  <c r="I23" i="2" s="1"/>
  <c r="J23" i="2" s="1"/>
  <c r="J35" i="1"/>
  <c r="B12" i="5" l="1"/>
  <c r="I19" i="2" a="1"/>
  <c r="I19" i="2" s="1"/>
  <c r="J19" i="2" s="1"/>
  <c r="G22" i="2" a="1"/>
  <c r="G22" i="2" s="1"/>
  <c r="H22" i="2" s="1"/>
  <c r="G16" i="2" a="1"/>
  <c r="G16" i="2" s="1"/>
  <c r="H16" i="2" s="1"/>
  <c r="G8" i="2" a="1"/>
  <c r="G8" i="2" s="1"/>
  <c r="H8" i="2" s="1"/>
  <c r="G28" i="2" a="1"/>
  <c r="G28" i="2" s="1"/>
  <c r="H28" i="2" s="1"/>
  <c r="G11" i="2" a="1"/>
  <c r="G11" i="2" s="1"/>
  <c r="H11" i="2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14" i="14" a="1"/>
  <c r="H8" i="14" a="1"/>
  <c r="H17" i="14" a="1"/>
  <c r="H9" i="14" a="1"/>
  <c r="H15" i="14" a="1"/>
  <c r="H18" i="14" a="1"/>
  <c r="H16" i="14" a="1"/>
  <c r="H12" i="14" a="1"/>
  <c r="H10" i="14" a="1"/>
  <c r="H6" i="14" a="1"/>
  <c r="H13" i="14" a="1"/>
  <c r="H19" i="14" a="1"/>
  <c r="H5" i="14" a="1"/>
  <c r="H11" i="14" a="1"/>
  <c r="H7" i="14" a="1"/>
  <c r="H11" i="14" l="1"/>
  <c r="I11" i="14" s="1" a="1"/>
  <c r="I11" i="14" s="1"/>
  <c r="H17" i="14"/>
  <c r="H10" i="14"/>
  <c r="H12" i="14"/>
  <c r="I12" i="14" s="1" a="1"/>
  <c r="I12" i="14" s="1"/>
  <c r="H16" i="14"/>
  <c r="J16" i="14" s="1" a="1"/>
  <c r="J16" i="14" s="1"/>
  <c r="H18" i="14"/>
  <c r="I18" i="14" s="1" a="1"/>
  <c r="I18" i="14" s="1"/>
  <c r="H15" i="14"/>
  <c r="I15" i="14" s="1" a="1"/>
  <c r="I15" i="14" s="1"/>
  <c r="H9" i="14"/>
  <c r="I9" i="14" s="1" a="1"/>
  <c r="I9" i="14" s="1"/>
  <c r="H8" i="14"/>
  <c r="I8" i="14" s="1" a="1"/>
  <c r="I8" i="14" s="1"/>
  <c r="H14" i="14"/>
  <c r="I14" i="14" s="1" a="1"/>
  <c r="I14" i="14" s="1"/>
  <c r="H7" i="14"/>
  <c r="I7" i="14" s="1" a="1"/>
  <c r="I7" i="14" s="1"/>
  <c r="H19" i="14"/>
  <c r="J19" i="14" s="1" a="1"/>
  <c r="J19" i="14" s="1"/>
  <c r="H13" i="14"/>
  <c r="I13" i="14" s="1" a="1"/>
  <c r="I13" i="14" s="1"/>
  <c r="H6" i="14"/>
  <c r="H5" i="14"/>
  <c r="I10" i="14" a="1"/>
  <c r="I10" i="14" s="1"/>
  <c r="J17" i="14" a="1"/>
  <c r="J17" i="14" s="1"/>
  <c r="C5" i="5"/>
  <c r="C4" i="5"/>
  <c r="C3" i="5" a="1"/>
  <c r="C3" i="5" s="1"/>
  <c r="I19" i="14" l="1" a="1"/>
  <c r="I19" i="14" s="1"/>
  <c r="E8" i="14" a="1"/>
  <c r="E8" i="14" s="1"/>
  <c r="I6" i="14" a="1"/>
  <c r="I6" i="14" s="1"/>
  <c r="I17" i="14" a="1"/>
  <c r="I17" i="14" s="1"/>
  <c r="J18" i="14" a="1"/>
  <c r="J18" i="14" s="1"/>
  <c r="J15" i="14" a="1"/>
  <c r="J15" i="14" s="1"/>
  <c r="I16" i="14" a="1"/>
  <c r="I16" i="14" s="1"/>
  <c r="J13" i="14" a="1"/>
  <c r="J13" i="14" s="1"/>
  <c r="J14" i="14" a="1"/>
  <c r="J14" i="14" s="1"/>
  <c r="J12" i="14" a="1"/>
  <c r="J12" i="14" s="1"/>
  <c r="J9" i="14" a="1"/>
  <c r="J9" i="14" s="1"/>
  <c r="J10" i="14" a="1"/>
  <c r="J10" i="14" s="1"/>
  <c r="J11" i="14" a="1"/>
  <c r="J11" i="14" s="1"/>
  <c r="J8" i="14" a="1"/>
  <c r="J8" i="14" s="1"/>
  <c r="J6" i="14" a="1"/>
  <c r="J6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<sst xmlns="http://schemas.openxmlformats.org/spreadsheetml/2006/main" count="151" uniqueCount="103">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</sst>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0" fontId="0" fillId="0" borderId="5" xfId="0" applyFont="1" applyBorder="1" applyProtection="1"/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</cellXfs>
  <cellStyles count="1">
    <cellStyle name="Normal" xfId="0" builtinId="0"/>
  </cellStyles>
  <dxfs count="27"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67E7E"/>
      <color rgb="FFFFD5D5"/>
      <color rgb="FFFEE3AC"/>
      <color rgb="FFEFEADB"/>
      <color rgb="FFA80000"/>
      <color rgb="FF600000"/>
      <color rgb="FFA20000"/>
      <color rgb="FFA9D08E"/>
      <color rgb="FFFF4B4B"/>
      <color rgb="FFFB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C5" sqref="C5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97</v>
      </c>
      <c r="J3" s="23" t="s">
        <v>98</v>
      </c>
    </row>
    <row r="4" spans="3:11" ht="14.95" customHeight="1" x14ac:dyDescent="0.25">
      <c r="C4" s="71">
        <v>4</v>
      </c>
      <c r="D4" s="2" t="s">
        <v>93</v>
      </c>
      <c r="E4" s="3">
        <v>44321</v>
      </c>
      <c r="H4" s="24" t="s">
        <v>69</v>
      </c>
      <c r="I4" s="29">
        <f ca="1">SUM(I5:I104)</f>
        <v>0.24062500000000003</v>
      </c>
      <c r="J4" s="30">
        <f ca="1">SUM(J5:J104)</f>
        <v>0.18715277777777778</v>
      </c>
    </row>
    <row r="5" spans="3:11" ht="14.95" customHeight="1" x14ac:dyDescent="0.25">
      <c r="C5" s="5"/>
      <c r="D5" s="6" t="s">
        <v>94</v>
      </c>
      <c r="E5" s="7">
        <v>44369</v>
      </c>
      <c r="H5" s="70" t="str" cm="1">
        <f t="array" aca="1" ref="H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AE1108-II Aerospace Mechanics of Materials</v>
      </c>
      <c r="I5" s="26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6.5625000000000003E-2</v>
      </c>
      <c r="J5" s="26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5.1041666666666659E-2</v>
      </c>
    </row>
    <row r="6" spans="3:11" x14ac:dyDescent="0.25">
      <c r="C6" s="5"/>
      <c r="D6" s="6" t="s">
        <v>95</v>
      </c>
      <c r="E6" s="8">
        <f>E5-E4</f>
        <v>48</v>
      </c>
      <c r="H6" s="70" t="str" cm="1">
        <f t="array" aca="1" ref="H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AE1240-II Waves and Electromagnetism</v>
      </c>
      <c r="I6" s="25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6.5625000000000003E-2</v>
      </c>
      <c r="J6" s="25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5.1041666666666659E-2</v>
      </c>
    </row>
    <row r="7" spans="3:11" ht="14.95" thickBot="1" x14ac:dyDescent="0.3">
      <c r="C7" s="5"/>
      <c r="D7" s="33" t="s">
        <v>101</v>
      </c>
      <c r="E7" s="9">
        <f ca="1">E5-TODAY()</f>
        <v>36</v>
      </c>
      <c r="F7" s="10"/>
      <c r="H7" s="70" t="str" cm="1">
        <f t="array" aca="1" ref="H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AE1240-I Thermodynamics</v>
      </c>
      <c r="I7" s="25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25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1"/>
      <c r="D8" s="12" t="s">
        <v>96</v>
      </c>
      <c r="E8" s="13" cm="1">
        <f t="array" aca="1" ref="E8" ca="1">IF(H5="None", 0, COUNTA(_xlfn._xlws.FILTER(H5:H19, (NOT(H5:H19="No more exams this quarter")))))</f>
        <v>15</v>
      </c>
      <c r="H8" s="70" t="str" cm="1">
        <f t="array" aca="1" ref="H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AE1205 Programming and Scientific Computing in Python for AE1</v>
      </c>
      <c r="I8" s="25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4.3750000000000004E-2</v>
      </c>
      <c r="J8" s="25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3.4027777777777782E-2</v>
      </c>
    </row>
    <row r="9" spans="3:11" x14ac:dyDescent="0.25">
      <c r="H9" s="70" t="str" cm="1">
        <f t="array" aca="1" ref="H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9" s="25" t="str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/>
      </c>
      <c r="J9" s="25" t="str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/>
      </c>
      <c r="K9" s="14"/>
    </row>
    <row r="10" spans="3:11" x14ac:dyDescent="0.25">
      <c r="H10" s="70" t="str" cm="1">
        <f t="array" aca="1" ref="H10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25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25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25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25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-4)&gt;0,
INDIRECT(
LEFT(IF(OR(C$4=1, C$4=3, C$4=5),CELL("address",INDEX('Dashboard - Exams'!B$11:B$41,MATCH("Q"&amp;C$4,'Dashboard - Exams'!B$11:B$41,0))),CELL("address",INDEX('Dashboard - Exams'!J$11:J$28,MATCH("Q"&amp;C$4,'Dashboard - Exams'!J$11:J$28,0)))),
LEN(IF(OR(C$4=1, C$4=3, C$4=5),CELL("address",INDEX('Dashboard - Exams'!B$11:B$41,MATCH("Q"&amp;C$4,'Dashboard - Exams'!B$11:B$41,0))),CELL("address",INDEX('Dashboard - Exams'!J$11:J$28,MATCH("Q"&amp;C$4,'Dashboard - Exams'!J$11:J$28,0)))))
-2)
&amp;VALUE(RIGHT(IF(OR(C$4=1, C$4=3, C$4=5),CELL("address",INDEX('Dashboard - Exams'!B$11:B$41,MATCH("Q"&amp;C$4,'Dashboard - Exams'!B$11:B$41,0))),CELL("address",INDEX('Dashboard - Exams'!J$11:J$28,MATCH("Q"&amp;C$4,'Dashboard - Exams'!J$11:J$28,0)))),2))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25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26" priority="19">
      <formula>$C$4=1</formula>
    </cfRule>
  </conditionalFormatting>
  <conditionalFormatting sqref="C8 C4:D7">
    <cfRule type="expression" dxfId="25" priority="1">
      <formula>$C$4=5</formula>
    </cfRule>
    <cfRule type="expression" dxfId="24" priority="16">
      <formula>$C$4=4</formula>
    </cfRule>
  </conditionalFormatting>
  <conditionalFormatting sqref="C8 C4:D7">
    <cfRule type="expression" dxfId="23" priority="17">
      <formula>$C$4=3</formula>
    </cfRule>
  </conditionalFormatting>
  <conditionalFormatting sqref="C8 C4:D7">
    <cfRule type="expression" dxfId="22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6"/>
  <sheetViews>
    <sheetView tabSelected="1" zoomScale="85" zoomScaleNormal="85" workbookViewId="0">
      <selection activeCell="G6" sqref="G6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85</v>
      </c>
      <c r="C2" s="45">
        <f>SUMPRODUCT(Modules!C1:C27, Modules!D1:D27)/SUM(Modules!D1:D27)</f>
        <v>0.25280898876404495</v>
      </c>
      <c r="E2" s="78" t="s">
        <v>91</v>
      </c>
      <c r="F2" s="79"/>
      <c r="G2" s="75">
        <v>1</v>
      </c>
    </row>
    <row r="3" spans="2:16" ht="14.3" customHeight="1" x14ac:dyDescent="0.25">
      <c r="B3" s="46" t="s">
        <v>71</v>
      </c>
      <c r="C3" s="47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80"/>
      <c r="F3" s="81"/>
      <c r="G3" s="76"/>
    </row>
    <row r="4" spans="2:16" ht="14.3" customHeight="1" x14ac:dyDescent="0.25">
      <c r="B4" s="48" t="s">
        <v>89</v>
      </c>
      <c r="C4" s="49">
        <f>C2+SUM(Modules!J2:J28)</f>
        <v>7.059438823018187</v>
      </c>
      <c r="E4" s="80"/>
      <c r="F4" s="81"/>
      <c r="G4" s="76"/>
    </row>
    <row r="5" spans="2:16" ht="14.3" customHeight="1" x14ac:dyDescent="0.25">
      <c r="B5" s="50" t="s">
        <v>90</v>
      </c>
      <c r="C5" s="51">
        <f>C2+SUM(Modules!H2:H28)</f>
        <v>9.0041902042336588</v>
      </c>
      <c r="E5" s="82"/>
      <c r="F5" s="83"/>
      <c r="G5" s="77"/>
    </row>
    <row r="6" spans="2:16" ht="14.3" customHeight="1" x14ac:dyDescent="0.25">
      <c r="B6" s="52"/>
      <c r="C6" s="53"/>
      <c r="E6" s="32"/>
      <c r="F6" s="32"/>
      <c r="G6" s="31"/>
    </row>
    <row r="7" spans="2:16" ht="14.3" customHeight="1" x14ac:dyDescent="0.25">
      <c r="B7" s="52"/>
      <c r="C7" s="53"/>
      <c r="E7" s="32"/>
      <c r="F7" s="32"/>
      <c r="G7" s="31"/>
    </row>
    <row r="8" spans="2:16" ht="14.3" customHeight="1" x14ac:dyDescent="0.25"/>
    <row r="9" spans="2:16" x14ac:dyDescent="0.25">
      <c r="B9" s="73" t="s">
        <v>81</v>
      </c>
      <c r="C9" s="73"/>
      <c r="D9" s="73"/>
      <c r="E9" s="74"/>
      <c r="F9" s="74"/>
      <c r="G9" s="73"/>
      <c r="H9" s="73"/>
      <c r="I9" s="73"/>
      <c r="J9" s="73"/>
      <c r="K9" s="73"/>
      <c r="L9" s="73"/>
      <c r="M9" s="73"/>
      <c r="N9" s="73"/>
      <c r="O9" s="73"/>
      <c r="P9" s="73"/>
    </row>
    <row r="11" spans="2:16" x14ac:dyDescent="0.25">
      <c r="B11" s="54" t="s">
        <v>82</v>
      </c>
      <c r="C11" s="55" t="s">
        <v>77</v>
      </c>
      <c r="D11" s="55" t="s">
        <v>26</v>
      </c>
      <c r="E11" s="56" t="s">
        <v>92</v>
      </c>
      <c r="F11" s="55" t="s">
        <v>100</v>
      </c>
      <c r="G11" s="55" t="s">
        <v>88</v>
      </c>
      <c r="H11" s="55" t="s">
        <v>62</v>
      </c>
      <c r="I11" s="43"/>
      <c r="J11" s="62" t="s">
        <v>83</v>
      </c>
      <c r="K11" s="63" t="s">
        <v>77</v>
      </c>
      <c r="L11" s="63" t="s">
        <v>26</v>
      </c>
      <c r="M11" s="63" t="s">
        <v>92</v>
      </c>
      <c r="N11" s="63" t="s">
        <v>78</v>
      </c>
      <c r="O11" s="63" t="s">
        <v>88</v>
      </c>
      <c r="P11" s="63" t="s">
        <v>62</v>
      </c>
    </row>
    <row r="12" spans="2:16" x14ac:dyDescent="0.25">
      <c r="B12" s="41" t="str" cm="1">
        <f t="array" ref="B12:H16">IF(NOT(ISERROR(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
)),
_xlfn._xlws.FILTER(_xlfn._xlws.FILTER(Courses!B2:O46,
(
(((Courses!C2:C46=1)+(IF(Courses!D2:D46=0,TRUE,IF(Courses!D2:D46&lt;5,IF('Dashboard - Quarter'!C4=2, FALSE, TRUE)))))=2)
+ (((Courses!C2:C46=0)+(Courses!G2:G46=1)+NOT(Courses!D2:D46=0)+('Dashboard - Quarter'!C4=1))=4)
)
*(IF(ISTEXT(Courses!O2:O46),G2=3,Courses!O2:O46&lt;=G2))),{1,0,1,1,0,0,0,1,0,0,1,0,1,1}),
"None")</f>
        <v>AE1110-I Introduction to Aerospace Engineering I</v>
      </c>
      <c r="C12" s="42">
        <v>0</v>
      </c>
      <c r="D12" s="42">
        <v>5</v>
      </c>
      <c r="E12" s="42">
        <v>9</v>
      </c>
      <c r="F12" s="42">
        <v>7</v>
      </c>
      <c r="G12" s="59">
        <v>98</v>
      </c>
      <c r="H12" s="60">
        <v>1</v>
      </c>
      <c r="J12" s="41" t="str" cm="1">
        <f t="array" ref="J12:P15">IF(NOT(ISERROR(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
)),
_xlfn._xlws.FILTER(_xlfn._xlws.FILTER(Courses!B2:O46,
(
(((Courses!C2:C46=2)+(IF(Courses!D2:D46=0,TRUE,IF(Courses!D2:D46&lt;5,IF('Dashboard - Quarter'!C4=3, FALSE, TRUE)))))=2)
+ (((Courses!C2:C46=1)+(Courses!G2:G46=1)+NOT(Courses!D2:D46=0)+('Dashboard - Quarter'!C4=2))=4)
)
*(IF(ISTEXT(Courses!O2:O46),G2=3,Courses!O2:O46&lt;=G2))),{1,0,1,1,0,0,0,1,0,0,1,0,1,1}),
"None")</f>
        <v>AE1110-II Introduction to Aerospace Engineering II</v>
      </c>
      <c r="K12" s="42">
        <v>0</v>
      </c>
      <c r="L12" s="42">
        <v>4</v>
      </c>
      <c r="M12" s="42">
        <v>9</v>
      </c>
      <c r="N12" s="42">
        <v>7</v>
      </c>
      <c r="O12" s="61">
        <v>78.400000000000006</v>
      </c>
      <c r="P12" s="60">
        <v>1</v>
      </c>
    </row>
    <row r="13" spans="2:16" x14ac:dyDescent="0.25">
      <c r="B13" s="41" t="str">
        <v>AE1130-I Statics</v>
      </c>
      <c r="C13" s="42">
        <v>0</v>
      </c>
      <c r="D13" s="42">
        <v>4</v>
      </c>
      <c r="E13" s="42">
        <v>9</v>
      </c>
      <c r="F13" s="61">
        <v>7</v>
      </c>
      <c r="G13" s="41">
        <v>78.400000000000006</v>
      </c>
      <c r="H13" s="60">
        <v>1</v>
      </c>
      <c r="J13" s="41" t="str">
        <v>WI1421LR Calculus I-B</v>
      </c>
      <c r="K13" s="42">
        <v>0</v>
      </c>
      <c r="L13" s="42">
        <v>3</v>
      </c>
      <c r="M13" s="42">
        <v>9</v>
      </c>
      <c r="N13" s="42">
        <v>7</v>
      </c>
      <c r="O13" s="61">
        <v>58.8</v>
      </c>
      <c r="P13" s="60">
        <v>1</v>
      </c>
    </row>
    <row r="14" spans="2:16" x14ac:dyDescent="0.25">
      <c r="B14" s="41" t="str">
        <v>WI1421LR Calculus I-A</v>
      </c>
      <c r="C14" s="42">
        <v>0</v>
      </c>
      <c r="D14" s="42">
        <v>3</v>
      </c>
      <c r="E14" s="42">
        <v>9</v>
      </c>
      <c r="F14" s="61">
        <v>7</v>
      </c>
      <c r="G14" s="41">
        <v>58.8</v>
      </c>
      <c r="H14" s="60">
        <v>1</v>
      </c>
      <c r="J14" s="41" t="str">
        <v>AE1130-II Dynamics</v>
      </c>
      <c r="K14" s="42">
        <v>0</v>
      </c>
      <c r="L14" s="42">
        <v>3</v>
      </c>
      <c r="M14" s="42">
        <v>9</v>
      </c>
      <c r="N14" s="42">
        <v>7</v>
      </c>
      <c r="O14" s="61">
        <v>58.8</v>
      </c>
      <c r="P14" s="60">
        <v>1</v>
      </c>
    </row>
    <row r="15" spans="2:16" x14ac:dyDescent="0.25">
      <c r="B15" s="41" t="str">
        <v>AE1111-I Exploring Aerospace Engineering</v>
      </c>
      <c r="C15" s="42">
        <v>0</v>
      </c>
      <c r="D15" s="42">
        <v>3</v>
      </c>
      <c r="E15" s="42">
        <v>9</v>
      </c>
      <c r="F15" s="61">
        <v>7</v>
      </c>
      <c r="G15" s="41">
        <v>58.8</v>
      </c>
      <c r="H15" s="60">
        <v>1</v>
      </c>
      <c r="J15" s="41" t="str">
        <v>AE1108-I Aerospace Materials</v>
      </c>
      <c r="K15" s="42">
        <v>0</v>
      </c>
      <c r="L15" s="42">
        <v>3</v>
      </c>
      <c r="M15" s="42">
        <v>9</v>
      </c>
      <c r="N15" s="42">
        <v>7</v>
      </c>
      <c r="O15" s="61">
        <v>58.8</v>
      </c>
      <c r="P15" s="60">
        <v>1</v>
      </c>
    </row>
    <row r="16" spans="2:16" x14ac:dyDescent="0.25">
      <c r="B16" s="18" t="str">
        <v>AE1111-II Engineering Drawing</v>
      </c>
      <c r="C16" s="42">
        <v>0</v>
      </c>
      <c r="D16" s="42">
        <v>2</v>
      </c>
      <c r="E16" s="42">
        <v>9</v>
      </c>
      <c r="F16" s="42">
        <v>7</v>
      </c>
      <c r="G16" s="59">
        <v>39.200000000000003</v>
      </c>
      <c r="H16" s="60">
        <v>1</v>
      </c>
      <c r="J16" s="18"/>
      <c r="O16" s="61"/>
      <c r="P16" s="60"/>
    </row>
    <row r="17" spans="2:16" x14ac:dyDescent="0.25">
      <c r="B17" s="18"/>
      <c r="G17" s="59"/>
      <c r="H17" s="60"/>
      <c r="O17" s="61"/>
      <c r="P17" s="60"/>
    </row>
    <row r="18" spans="2:16" x14ac:dyDescent="0.25">
      <c r="B18" s="18"/>
      <c r="G18" s="59"/>
      <c r="H18" s="60"/>
      <c r="O18" s="61"/>
      <c r="P18" s="60"/>
    </row>
    <row r="19" spans="2:16" x14ac:dyDescent="0.25">
      <c r="B19" s="18"/>
      <c r="G19" s="59"/>
      <c r="H19" s="60"/>
      <c r="O19" s="61"/>
      <c r="P19" s="60"/>
    </row>
    <row r="20" spans="2:16" x14ac:dyDescent="0.25">
      <c r="B20" s="18"/>
      <c r="G20" s="59"/>
      <c r="H20" s="60"/>
      <c r="O20" s="61"/>
      <c r="P20" s="60"/>
    </row>
    <row r="21" spans="2:16" x14ac:dyDescent="0.25">
      <c r="B21" s="18"/>
      <c r="G21" s="59"/>
      <c r="H21" s="60"/>
      <c r="O21" s="61"/>
      <c r="P21" s="60"/>
    </row>
    <row r="22" spans="2:16" x14ac:dyDescent="0.25">
      <c r="B22" s="18"/>
      <c r="G22" s="59"/>
      <c r="H22" s="60"/>
      <c r="O22" s="61"/>
      <c r="P22" s="60"/>
    </row>
    <row r="23" spans="2:16" x14ac:dyDescent="0.25">
      <c r="B23" s="18"/>
      <c r="G23" s="59"/>
      <c r="H23" s="60"/>
      <c r="O23" s="61"/>
      <c r="P23" s="60"/>
    </row>
    <row r="24" spans="2:16" x14ac:dyDescent="0.25">
      <c r="B24" s="18"/>
      <c r="G24" s="59"/>
      <c r="H24" s="60"/>
      <c r="O24" s="61"/>
      <c r="P24" s="60"/>
    </row>
    <row r="25" spans="2:16" x14ac:dyDescent="0.25">
      <c r="B25" s="18"/>
      <c r="G25" s="59"/>
      <c r="H25" s="60"/>
      <c r="O25" s="61"/>
      <c r="P25" s="60"/>
    </row>
    <row r="26" spans="2:16" x14ac:dyDescent="0.25">
      <c r="B26" s="18"/>
      <c r="G26" s="59"/>
      <c r="H26" s="60"/>
      <c r="O26" s="61"/>
      <c r="P26" s="60"/>
    </row>
    <row r="27" spans="2:16" x14ac:dyDescent="0.25">
      <c r="G27" s="59"/>
      <c r="H27" s="60"/>
      <c r="O27" s="61"/>
      <c r="P27" s="60"/>
    </row>
    <row r="28" spans="2:16" x14ac:dyDescent="0.25">
      <c r="B28" s="57" t="s">
        <v>79</v>
      </c>
      <c r="C28" s="58" t="s">
        <v>77</v>
      </c>
      <c r="D28" s="58" t="s">
        <v>26</v>
      </c>
      <c r="E28" s="58" t="s">
        <v>92</v>
      </c>
      <c r="F28" s="58" t="s">
        <v>100</v>
      </c>
      <c r="G28" s="58" t="s">
        <v>88</v>
      </c>
      <c r="H28" s="58" t="s">
        <v>62</v>
      </c>
      <c r="I28" s="43"/>
      <c r="J28" s="64" t="s">
        <v>80</v>
      </c>
      <c r="K28" s="65" t="s">
        <v>77</v>
      </c>
      <c r="L28" s="65" t="s">
        <v>26</v>
      </c>
      <c r="M28" s="66" t="s">
        <v>92</v>
      </c>
      <c r="N28" s="65" t="s">
        <v>78</v>
      </c>
      <c r="O28" s="65" t="s">
        <v>88</v>
      </c>
      <c r="P28" s="65" t="s">
        <v>62</v>
      </c>
    </row>
    <row r="29" spans="2:16" x14ac:dyDescent="0.25">
      <c r="B29" s="41" t="str" cm="1">
        <f t="array" ref="B29:H31">IF(NOT(ISERROR(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
)),
_xlfn._xlws.FILTER(_xlfn._xlws.FILTER(Courses!B2:O46,
(
(((Courses!C2:C46=3)+(IF(Courses!D2:D46=0,TRUE,IF(Courses!D2:D46&lt;5,IF('Dashboard - Quarter'!C4=4, FALSE, TRUE)))))=2)
+ (((Courses!C2:C46=2)+(Courses!G2:G46=1)+NOT(Courses!D2:D46=0))=3)
)
*(IF(ISTEXT(Courses!O2:O46),G2=3,Courses!O2:O46&lt;=G2))),{1,0,1,1,0,0,0,1,0,0,1,0,1,1}),
"None")</f>
        <v>WI1420LR Calculus II</v>
      </c>
      <c r="C29" s="42">
        <v>0</v>
      </c>
      <c r="D29" s="42">
        <v>5</v>
      </c>
      <c r="E29" s="42">
        <v>9</v>
      </c>
      <c r="F29" s="42">
        <v>7</v>
      </c>
      <c r="G29" s="59">
        <v>98</v>
      </c>
      <c r="H29" s="60">
        <v>1</v>
      </c>
      <c r="J29" s="18" t="str" cm="1">
        <f t="array" ref="J29:P32">IF(NOT(ISERROR(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
)),
_xlfn._xlws.FILTER(_xlfn._xlws.FILTER(Courses!B2:O46,
(
(((Courses!C2:C46=4)+(IF(Courses!D2:D46=0,TRUE,IF(Courses!D2:D46&lt;5,IF('Dashboard - Quarter'!C4=5, FALSE, TRUE)))))=2)
+ (((Courses!C2:C46=3)+(Courses!G2:G46=1)+NOT(Courses!D2:D46=0)+('Dashboard - Quarter'!C4=4))=4)
)
*(IF(ISTEXT(Courses!O2:O46),G2=3,Courses!O2:O46&lt;=G2))),{1,0,1,1,0,0,0,1,0,0,1,0,1,1}),
"None")</f>
        <v>AE1108-II Aerospace Mechanics of Materials</v>
      </c>
      <c r="K29" s="42">
        <v>0</v>
      </c>
      <c r="L29" s="42">
        <v>3</v>
      </c>
      <c r="M29" s="42">
        <v>9</v>
      </c>
      <c r="N29" s="42">
        <v>7</v>
      </c>
      <c r="O29" s="61">
        <v>58.8</v>
      </c>
      <c r="P29" s="60">
        <v>1</v>
      </c>
    </row>
    <row r="30" spans="2:16" x14ac:dyDescent="0.25">
      <c r="B30" s="41" t="str">
        <v>AE1222-II Aerospace Design and Systems Engineering Elements I</v>
      </c>
      <c r="C30" s="42">
        <v>0</v>
      </c>
      <c r="D30" s="42">
        <v>4</v>
      </c>
      <c r="E30" s="42">
        <v>9</v>
      </c>
      <c r="F30" s="61">
        <v>7</v>
      </c>
      <c r="G30" s="41">
        <v>78.400000000000006</v>
      </c>
      <c r="H30" s="60">
        <v>1</v>
      </c>
      <c r="J30" s="18" t="str">
        <v>AE1240-II Waves and Electromagnetism</v>
      </c>
      <c r="K30" s="42">
        <v>0</v>
      </c>
      <c r="L30" s="42">
        <v>3</v>
      </c>
      <c r="M30" s="42">
        <v>9</v>
      </c>
      <c r="N30" s="42">
        <v>7</v>
      </c>
      <c r="O30" s="61">
        <v>58.8</v>
      </c>
      <c r="P30" s="60">
        <v>1</v>
      </c>
    </row>
    <row r="31" spans="2:16" x14ac:dyDescent="0.25">
      <c r="B31" s="41" t="str">
        <v>AE1222-I Design &amp; Construction</v>
      </c>
      <c r="C31" s="42">
        <v>0</v>
      </c>
      <c r="D31" s="42">
        <v>5</v>
      </c>
      <c r="E31" s="42">
        <v>9</v>
      </c>
      <c r="F31" s="61">
        <v>7</v>
      </c>
      <c r="G31" s="41">
        <v>98</v>
      </c>
      <c r="H31" s="60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1">
        <v>58.8</v>
      </c>
      <c r="P31" s="60">
        <v>1</v>
      </c>
    </row>
    <row r="32" spans="2:16" x14ac:dyDescent="0.25">
      <c r="C32" s="61"/>
      <c r="H32" s="60"/>
      <c r="J32" s="18" t="str">
        <v>AE1205 Programming and Scientific Computing in Python for AE1</v>
      </c>
      <c r="K32" s="42">
        <v>0</v>
      </c>
      <c r="L32" s="61">
        <v>2</v>
      </c>
      <c r="M32" s="61">
        <v>9</v>
      </c>
      <c r="N32" s="42">
        <v>7</v>
      </c>
      <c r="O32" s="42">
        <v>39.200000000000003</v>
      </c>
      <c r="P32" s="60">
        <v>1</v>
      </c>
    </row>
    <row r="33" spans="2:16" x14ac:dyDescent="0.25">
      <c r="D33" s="61"/>
      <c r="E33" s="61"/>
      <c r="H33" s="60"/>
      <c r="L33" s="61"/>
      <c r="M33" s="61"/>
      <c r="P33" s="60"/>
    </row>
    <row r="34" spans="2:16" x14ac:dyDescent="0.25">
      <c r="D34" s="61"/>
      <c r="E34" s="61"/>
      <c r="H34" s="60"/>
      <c r="P34" s="60"/>
    </row>
    <row r="35" spans="2:16" x14ac:dyDescent="0.25">
      <c r="H35" s="60"/>
      <c r="P35" s="60"/>
    </row>
    <row r="36" spans="2:16" x14ac:dyDescent="0.25">
      <c r="H36" s="60"/>
      <c r="P36" s="60"/>
    </row>
    <row r="37" spans="2:16" x14ac:dyDescent="0.25">
      <c r="H37" s="60"/>
      <c r="J37" s="18"/>
      <c r="P37" s="60"/>
    </row>
    <row r="38" spans="2:16" x14ac:dyDescent="0.25">
      <c r="H38" s="60"/>
      <c r="J38" s="18"/>
      <c r="P38" s="60"/>
    </row>
    <row r="39" spans="2:16" x14ac:dyDescent="0.25">
      <c r="B39" s="18"/>
      <c r="H39" s="60"/>
      <c r="P39" s="60"/>
    </row>
    <row r="40" spans="2:16" x14ac:dyDescent="0.25">
      <c r="H40" s="60"/>
      <c r="P40" s="60"/>
    </row>
    <row r="41" spans="2:16" x14ac:dyDescent="0.25">
      <c r="B41" s="68" t="s">
        <v>102</v>
      </c>
      <c r="C41" s="69" t="s">
        <v>77</v>
      </c>
      <c r="D41" s="69" t="s">
        <v>26</v>
      </c>
      <c r="E41" s="72" t="s">
        <v>92</v>
      </c>
      <c r="F41" s="69" t="s">
        <v>100</v>
      </c>
      <c r="G41" s="69" t="s">
        <v>88</v>
      </c>
      <c r="H41" s="69" t="s">
        <v>62</v>
      </c>
      <c r="P41" s="60"/>
    </row>
    <row r="42" spans="2:16" x14ac:dyDescent="0.25">
      <c r="B42" s="41" t="str" cm="1">
        <f t="array" ref="B42">IF(NOT(ISERROR(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
)),
_xlfn._xlws.FILTER(_xlfn._xlws.FILTER(Courses!B2:O46,
(
(((Courses!C2:C46=5)+(IF(Courses!D2:D46=0,TRUE,IF(Courses!D2:D46&lt;5,IF('Dashboard - Quarter'!C4=6, FALSE, TRUE)))))=2)
+ (((Courses!C2:C46=4)+(Courses!G2:G46=1)+NOT(Courses!D2:D46=0)+('Dashboard - Quarter'!C4=5))=4)
)
*(IF(ISTEXT(Courses!O2:O46),G2=3,Courses!O2:O46&lt;=G2))),{1,0,1,1,0,0,0,1,0,0,1,0,1,1}),
"None")</f>
        <v>None</v>
      </c>
    </row>
    <row r="46" spans="2:16" x14ac:dyDescent="0.25">
      <c r="C46" s="67"/>
    </row>
  </sheetData>
  <mergeCells count="3">
    <mergeCell ref="B9:P9"/>
    <mergeCell ref="G2:G5"/>
    <mergeCell ref="E2:F5"/>
  </mergeCells>
  <conditionalFormatting sqref="F12:F27 F29:F40 N12:N27 N29:N40 F42:F53">
    <cfRule type="colorScale" priority="27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B12:B26 J12:J26 B29:B40 J29:J40 B42:B53">
    <cfRule type="expression" dxfId="21" priority="1">
      <formula>AND(C12&gt;0, C12&lt;5)</formula>
    </cfRule>
  </conditionalFormatting>
  <conditionalFormatting sqref="E12:E27 E29:E40 M12:M27 M29:M40 E42:E54">
    <cfRule type="colorScale" priority="71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0 O12:O26 O29:O40 G42:G53">
    <cfRule type="colorScale" priority="75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0 P12:P26 P29:P40 H42:H53">
    <cfRule type="expression" dxfId="20" priority="2">
      <formula>H12="Minor"</formula>
    </cfRule>
    <cfRule type="expression" dxfId="19" priority="22">
      <formula>H12=1</formula>
    </cfRule>
    <cfRule type="expression" dxfId="18" priority="23">
      <formula>H12=2</formula>
    </cfRule>
    <cfRule type="expression" dxfId="17" priority="24">
      <formula>H12=3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="85" zoomScaleNormal="85" workbookViewId="0">
      <selection activeCell="D3" sqref="D3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75</v>
      </c>
      <c r="I1" s="35" t="s">
        <v>99</v>
      </c>
      <c r="J1" s="35" t="s">
        <v>72</v>
      </c>
      <c r="K1" s="35" t="s">
        <v>74</v>
      </c>
      <c r="L1" s="35" t="s">
        <v>76</v>
      </c>
      <c r="M1" s="35" t="s">
        <v>73</v>
      </c>
      <c r="N1" s="35" t="s">
        <v>87</v>
      </c>
      <c r="O1" s="35" t="s">
        <v>62</v>
      </c>
      <c r="P1" s="35" t="s">
        <v>86</v>
      </c>
    </row>
    <row r="2" spans="1:16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9</v>
      </c>
      <c r="I2" s="37">
        <f t="shared" ref="I2:I46" si="1">IF(NOT(ISBLANK(D2)), IF(G2=1, H2, D2), H2)</f>
        <v>9</v>
      </c>
      <c r="J2" s="37">
        <f t="shared" ref="J2:J46" si="2">(H2-D2)*E2/SUM(E$2:E$46)</f>
        <v>0</v>
      </c>
      <c r="K2" s="39">
        <v>7</v>
      </c>
      <c r="L2" s="37">
        <f t="shared" ref="L2:L46" si="3">IF(NOT(ISBLANK(D2)), IF(G2=1, K2, D2), K2)</f>
        <v>9</v>
      </c>
      <c r="M2" s="37">
        <f t="shared" ref="M2:M46" si="4">(L2-D2)*E2/SUM(E$2:E$46)</f>
        <v>0</v>
      </c>
      <c r="N2" s="37">
        <f t="shared" ref="N2:N46" si="5">IF(OR(G2&gt;0, ISBLANK(D2)), E2*28*L2/10, 0)</f>
        <v>0</v>
      </c>
      <c r="O2" s="28">
        <v>1</v>
      </c>
      <c r="P2" s="17" t="b">
        <f t="shared" ref="P2:P46" si="6">IF(D2&gt;4.99, TRUE, FALSE)</f>
        <v>1</v>
      </c>
    </row>
    <row r="3" spans="1:16" x14ac:dyDescent="0.25">
      <c r="A3" s="27"/>
      <c r="B3" s="17" t="s">
        <v>54</v>
      </c>
      <c r="C3" s="37">
        <v>4</v>
      </c>
      <c r="D3"/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9</v>
      </c>
      <c r="J3" s="37">
        <f t="shared" si="2"/>
        <v>0.15</v>
      </c>
      <c r="K3" s="39">
        <v>7</v>
      </c>
      <c r="L3" s="37">
        <f t="shared" si="3"/>
        <v>7</v>
      </c>
      <c r="M3" s="37">
        <f t="shared" si="4"/>
        <v>0.11666666666666667</v>
      </c>
      <c r="N3" s="37">
        <f t="shared" si="5"/>
        <v>58.8</v>
      </c>
      <c r="O3" s="28">
        <v>1</v>
      </c>
      <c r="P3" s="17" t="b">
        <f t="shared" si="6"/>
        <v>0</v>
      </c>
    </row>
    <row r="4" spans="1:16" x14ac:dyDescent="0.25">
      <c r="A4" s="27"/>
      <c r="B4" s="17" t="s">
        <v>58</v>
      </c>
      <c r="C4" s="37">
        <v>4</v>
      </c>
      <c r="D4"/>
      <c r="E4" s="37">
        <v>3</v>
      </c>
      <c r="F4" s="36" t="str">
        <f t="shared" si="0"/>
        <v>Pending</v>
      </c>
      <c r="G4" s="38"/>
      <c r="H4" s="39">
        <v>9</v>
      </c>
      <c r="I4" s="37">
        <f t="shared" si="1"/>
        <v>9</v>
      </c>
      <c r="J4" s="37">
        <f t="shared" si="2"/>
        <v>0.15</v>
      </c>
      <c r="K4" s="39">
        <v>7</v>
      </c>
      <c r="L4" s="37">
        <f t="shared" si="3"/>
        <v>7</v>
      </c>
      <c r="M4" s="37">
        <f t="shared" si="4"/>
        <v>0.11666666666666667</v>
      </c>
      <c r="N4" s="37">
        <f t="shared" si="5"/>
        <v>58.8</v>
      </c>
      <c r="O4" s="28">
        <v>1</v>
      </c>
      <c r="P4" s="17" t="b">
        <f t="shared" si="6"/>
        <v>0</v>
      </c>
    </row>
    <row r="5" spans="1:16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7">
        <f t="shared" si="2"/>
        <v>0.15</v>
      </c>
      <c r="K5" s="39">
        <v>7</v>
      </c>
      <c r="L5" s="37">
        <f t="shared" si="3"/>
        <v>7</v>
      </c>
      <c r="M5" s="37">
        <f t="shared" si="4"/>
        <v>0.11666666666666667</v>
      </c>
      <c r="N5" s="37">
        <f t="shared" si="5"/>
        <v>58.8</v>
      </c>
      <c r="O5" s="28">
        <v>1</v>
      </c>
      <c r="P5" s="17" t="b">
        <f t="shared" si="6"/>
        <v>0</v>
      </c>
    </row>
    <row r="6" spans="1:16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7">
        <f t="shared" si="2"/>
        <v>0.1</v>
      </c>
      <c r="K6" s="39">
        <v>7</v>
      </c>
      <c r="L6" s="37">
        <f t="shared" si="3"/>
        <v>7</v>
      </c>
      <c r="M6" s="37">
        <f t="shared" si="4"/>
        <v>7.7777777777777779E-2</v>
      </c>
      <c r="N6" s="37">
        <f t="shared" si="5"/>
        <v>39.200000000000003</v>
      </c>
      <c r="O6" s="28">
        <v>1</v>
      </c>
      <c r="P6" s="17" t="b">
        <f t="shared" si="6"/>
        <v>0</v>
      </c>
    </row>
    <row r="7" spans="1:16" x14ac:dyDescent="0.25">
      <c r="A7" s="27"/>
      <c r="B7" s="17" t="s">
        <v>65</v>
      </c>
      <c r="C7" s="37">
        <v>3</v>
      </c>
      <c r="D7"/>
      <c r="E7" s="37">
        <v>5</v>
      </c>
      <c r="F7" s="36" t="str">
        <f t="shared" si="0"/>
        <v>Pending</v>
      </c>
      <c r="G7" s="38"/>
      <c r="H7" s="39">
        <v>9</v>
      </c>
      <c r="I7" s="37">
        <f t="shared" si="1"/>
        <v>9</v>
      </c>
      <c r="J7" s="37">
        <f t="shared" si="2"/>
        <v>0.25</v>
      </c>
      <c r="K7" s="39">
        <v>7</v>
      </c>
      <c r="L7" s="37">
        <f t="shared" si="3"/>
        <v>7</v>
      </c>
      <c r="M7" s="37">
        <f t="shared" si="4"/>
        <v>0.19444444444444445</v>
      </c>
      <c r="N7" s="37">
        <f t="shared" si="5"/>
        <v>98</v>
      </c>
      <c r="O7" s="28">
        <v>1</v>
      </c>
      <c r="P7" s="17" t="b">
        <f t="shared" si="6"/>
        <v>0</v>
      </c>
    </row>
    <row r="8" spans="1:16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7">
        <f t="shared" si="2"/>
        <v>0.2</v>
      </c>
      <c r="K8" s="39">
        <v>7</v>
      </c>
      <c r="L8" s="37">
        <f t="shared" si="3"/>
        <v>7</v>
      </c>
      <c r="M8" s="37">
        <f t="shared" si="4"/>
        <v>0.15555555555555556</v>
      </c>
      <c r="N8" s="37">
        <f t="shared" si="5"/>
        <v>78.400000000000006</v>
      </c>
      <c r="O8" s="28">
        <v>1</v>
      </c>
      <c r="P8" s="17" t="b">
        <f t="shared" si="6"/>
        <v>0</v>
      </c>
    </row>
    <row r="9" spans="1:16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7">
        <f t="shared" si="2"/>
        <v>0.25</v>
      </c>
      <c r="K9" s="39">
        <v>7</v>
      </c>
      <c r="L9" s="37">
        <f t="shared" si="3"/>
        <v>7</v>
      </c>
      <c r="M9" s="37">
        <f t="shared" si="4"/>
        <v>0.19444444444444445</v>
      </c>
      <c r="N9" s="37">
        <f t="shared" si="5"/>
        <v>98</v>
      </c>
      <c r="O9" s="28">
        <v>1</v>
      </c>
      <c r="P9" s="17" t="b">
        <f t="shared" si="6"/>
        <v>0</v>
      </c>
    </row>
    <row r="10" spans="1:16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7">
        <f t="shared" si="2"/>
        <v>0.2</v>
      </c>
      <c r="K10" s="39">
        <v>7</v>
      </c>
      <c r="L10" s="37">
        <f t="shared" si="3"/>
        <v>7</v>
      </c>
      <c r="M10" s="37">
        <f t="shared" si="4"/>
        <v>0.15555555555555556</v>
      </c>
      <c r="N10" s="37">
        <f t="shared" si="5"/>
        <v>78.400000000000006</v>
      </c>
      <c r="O10" s="28">
        <v>1</v>
      </c>
      <c r="P10" s="17" t="b">
        <f t="shared" si="6"/>
        <v>0</v>
      </c>
    </row>
    <row r="11" spans="1:16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7">
        <f t="shared" si="2"/>
        <v>0.15</v>
      </c>
      <c r="K11" s="39">
        <v>7</v>
      </c>
      <c r="L11" s="37">
        <f t="shared" si="3"/>
        <v>7</v>
      </c>
      <c r="M11" s="37">
        <f t="shared" si="4"/>
        <v>0.11666666666666667</v>
      </c>
      <c r="N11" s="37">
        <f t="shared" si="5"/>
        <v>58.8</v>
      </c>
      <c r="O11" s="28">
        <v>1</v>
      </c>
      <c r="P11" s="17" t="b">
        <f t="shared" si="6"/>
        <v>0</v>
      </c>
    </row>
    <row r="12" spans="1:16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7">
        <f t="shared" si="2"/>
        <v>0.15</v>
      </c>
      <c r="K12" s="39">
        <v>7</v>
      </c>
      <c r="L12" s="37">
        <f t="shared" si="3"/>
        <v>7</v>
      </c>
      <c r="M12" s="37">
        <f t="shared" si="4"/>
        <v>0.11666666666666667</v>
      </c>
      <c r="N12" s="37">
        <f t="shared" si="5"/>
        <v>58.8</v>
      </c>
      <c r="O12" s="28">
        <v>1</v>
      </c>
      <c r="P12" s="17" t="b">
        <f t="shared" si="6"/>
        <v>0</v>
      </c>
    </row>
    <row r="13" spans="1:16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7">
        <f t="shared" si="2"/>
        <v>0.15</v>
      </c>
      <c r="K13" s="39">
        <v>7</v>
      </c>
      <c r="L13" s="37">
        <f t="shared" si="3"/>
        <v>7</v>
      </c>
      <c r="M13" s="37">
        <f t="shared" si="4"/>
        <v>0.11666666666666667</v>
      </c>
      <c r="N13" s="37">
        <f t="shared" si="5"/>
        <v>58.8</v>
      </c>
      <c r="O13" s="28">
        <v>1</v>
      </c>
      <c r="P13" s="17" t="b">
        <f t="shared" si="6"/>
        <v>0</v>
      </c>
    </row>
    <row r="14" spans="1:16" x14ac:dyDescent="0.25">
      <c r="A14" s="27"/>
      <c r="B14" s="17" t="s">
        <v>84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7">
        <f t="shared" si="2"/>
        <v>0.25</v>
      </c>
      <c r="K14" s="39">
        <v>7</v>
      </c>
      <c r="L14" s="37">
        <f t="shared" si="3"/>
        <v>7</v>
      </c>
      <c r="M14" s="37">
        <f t="shared" si="4"/>
        <v>0.19444444444444445</v>
      </c>
      <c r="N14" s="37">
        <f t="shared" si="5"/>
        <v>98</v>
      </c>
      <c r="O14" s="28">
        <v>1</v>
      </c>
      <c r="P14" s="17" t="b">
        <f t="shared" si="6"/>
        <v>0</v>
      </c>
    </row>
    <row r="15" spans="1:16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7">
        <f t="shared" si="2"/>
        <v>0.2</v>
      </c>
      <c r="K15" s="39">
        <v>7</v>
      </c>
      <c r="L15" s="37">
        <f t="shared" si="3"/>
        <v>7</v>
      </c>
      <c r="M15" s="37">
        <f t="shared" si="4"/>
        <v>0.15555555555555556</v>
      </c>
      <c r="N15" s="37">
        <f t="shared" si="5"/>
        <v>78.400000000000006</v>
      </c>
      <c r="O15" s="28">
        <v>1</v>
      </c>
      <c r="P15" s="17" t="b">
        <f t="shared" si="6"/>
        <v>0</v>
      </c>
    </row>
    <row r="16" spans="1:16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7">
        <f t="shared" si="2"/>
        <v>0.15</v>
      </c>
      <c r="K16" s="39">
        <v>7</v>
      </c>
      <c r="L16" s="37">
        <f t="shared" si="3"/>
        <v>7</v>
      </c>
      <c r="M16" s="37">
        <f t="shared" si="4"/>
        <v>0.11666666666666667</v>
      </c>
      <c r="N16" s="37">
        <f t="shared" si="5"/>
        <v>58.8</v>
      </c>
      <c r="O16" s="28">
        <v>1</v>
      </c>
      <c r="P16" s="17" t="b">
        <f t="shared" si="6"/>
        <v>0</v>
      </c>
    </row>
    <row r="17" spans="1:16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7">
        <f t="shared" si="2"/>
        <v>0.15</v>
      </c>
      <c r="K17" s="39">
        <v>7</v>
      </c>
      <c r="L17" s="37">
        <f t="shared" si="3"/>
        <v>7</v>
      </c>
      <c r="M17" s="37">
        <f t="shared" si="4"/>
        <v>0.11666666666666667</v>
      </c>
      <c r="N17" s="37">
        <f t="shared" si="5"/>
        <v>58.8</v>
      </c>
      <c r="O17" s="28">
        <v>1</v>
      </c>
      <c r="P17" s="17" t="b">
        <f t="shared" si="6"/>
        <v>0</v>
      </c>
    </row>
    <row r="18" spans="1:16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7">
        <f t="shared" si="2"/>
        <v>0.1</v>
      </c>
      <c r="K18" s="39">
        <v>7</v>
      </c>
      <c r="L18" s="37">
        <f t="shared" si="3"/>
        <v>7</v>
      </c>
      <c r="M18" s="37">
        <f t="shared" si="4"/>
        <v>7.7777777777777779E-2</v>
      </c>
      <c r="N18" s="37">
        <f t="shared" si="5"/>
        <v>39.200000000000003</v>
      </c>
      <c r="O18" s="28">
        <v>1</v>
      </c>
      <c r="P18" s="17" t="b">
        <f t="shared" si="6"/>
        <v>0</v>
      </c>
    </row>
    <row r="19" spans="1:16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7">
        <f t="shared" si="2"/>
        <v>0.15</v>
      </c>
      <c r="K19" s="39">
        <v>7</v>
      </c>
      <c r="L19" s="37">
        <f t="shared" si="3"/>
        <v>7</v>
      </c>
      <c r="M19" s="37">
        <f t="shared" si="4"/>
        <v>0.11666666666666667</v>
      </c>
      <c r="N19" s="37">
        <f t="shared" si="5"/>
        <v>58.8</v>
      </c>
      <c r="O19" s="28">
        <v>2</v>
      </c>
      <c r="P19" s="17" t="b">
        <f t="shared" si="6"/>
        <v>0</v>
      </c>
    </row>
    <row r="20" spans="1:16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7">
        <f t="shared" si="2"/>
        <v>0.2</v>
      </c>
      <c r="K20" s="39">
        <v>7</v>
      </c>
      <c r="L20" s="37">
        <f t="shared" si="3"/>
        <v>7</v>
      </c>
      <c r="M20" s="37">
        <f t="shared" si="4"/>
        <v>0.15555555555555556</v>
      </c>
      <c r="N20" s="37">
        <f t="shared" si="5"/>
        <v>78.400000000000006</v>
      </c>
      <c r="O20" s="28">
        <v>2</v>
      </c>
      <c r="P20" s="17" t="b">
        <f t="shared" si="6"/>
        <v>0</v>
      </c>
    </row>
    <row r="21" spans="1:16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7">
        <f t="shared" si="2"/>
        <v>0.2</v>
      </c>
      <c r="K21" s="39">
        <v>7</v>
      </c>
      <c r="L21" s="37">
        <f t="shared" si="3"/>
        <v>7</v>
      </c>
      <c r="M21" s="37">
        <f t="shared" si="4"/>
        <v>0.15555555555555556</v>
      </c>
      <c r="N21" s="37">
        <f t="shared" si="5"/>
        <v>78.400000000000006</v>
      </c>
      <c r="O21" s="28">
        <v>2</v>
      </c>
      <c r="P21" s="17" t="b">
        <f t="shared" si="6"/>
        <v>0</v>
      </c>
    </row>
    <row r="22" spans="1:16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7">
        <f t="shared" si="2"/>
        <v>0.15</v>
      </c>
      <c r="K22" s="39">
        <v>7</v>
      </c>
      <c r="L22" s="37">
        <f t="shared" si="3"/>
        <v>7</v>
      </c>
      <c r="M22" s="37">
        <f t="shared" si="4"/>
        <v>0.11666666666666667</v>
      </c>
      <c r="N22" s="37">
        <f t="shared" si="5"/>
        <v>58.8</v>
      </c>
      <c r="O22" s="28">
        <v>2</v>
      </c>
      <c r="P22" s="17" t="b">
        <f t="shared" si="6"/>
        <v>0</v>
      </c>
    </row>
    <row r="23" spans="1:16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7">
        <f t="shared" si="2"/>
        <v>0.15</v>
      </c>
      <c r="K23" s="39">
        <v>7</v>
      </c>
      <c r="L23" s="37">
        <f t="shared" si="3"/>
        <v>7</v>
      </c>
      <c r="M23" s="37">
        <f t="shared" si="4"/>
        <v>0.11666666666666667</v>
      </c>
      <c r="N23" s="37">
        <f t="shared" si="5"/>
        <v>58.8</v>
      </c>
      <c r="O23" s="28">
        <v>2</v>
      </c>
      <c r="P23" s="17" t="b">
        <f t="shared" si="6"/>
        <v>0</v>
      </c>
    </row>
    <row r="24" spans="1:16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7">
        <f t="shared" si="2"/>
        <v>0.2</v>
      </c>
      <c r="K24" s="39">
        <v>7</v>
      </c>
      <c r="L24" s="37">
        <f t="shared" si="3"/>
        <v>7</v>
      </c>
      <c r="M24" s="37">
        <f t="shared" si="4"/>
        <v>0.15555555555555556</v>
      </c>
      <c r="N24" s="37">
        <f t="shared" si="5"/>
        <v>78.400000000000006</v>
      </c>
      <c r="O24" s="28">
        <v>2</v>
      </c>
      <c r="P24" s="17" t="b">
        <f t="shared" si="6"/>
        <v>0</v>
      </c>
    </row>
    <row r="25" spans="1:16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7">
        <f t="shared" si="2"/>
        <v>0.15</v>
      </c>
      <c r="K25" s="39">
        <v>7</v>
      </c>
      <c r="L25" s="37">
        <f t="shared" si="3"/>
        <v>7</v>
      </c>
      <c r="M25" s="37">
        <f t="shared" si="4"/>
        <v>0.11666666666666667</v>
      </c>
      <c r="N25" s="37">
        <f t="shared" si="5"/>
        <v>58.8</v>
      </c>
      <c r="O25" s="28">
        <v>2</v>
      </c>
      <c r="P25" s="17" t="b">
        <f t="shared" si="6"/>
        <v>0</v>
      </c>
    </row>
    <row r="26" spans="1:16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7">
        <f t="shared" si="2"/>
        <v>0.25</v>
      </c>
      <c r="K26" s="39">
        <v>7</v>
      </c>
      <c r="L26" s="37">
        <f t="shared" si="3"/>
        <v>7</v>
      </c>
      <c r="M26" s="37">
        <f t="shared" si="4"/>
        <v>0.19444444444444445</v>
      </c>
      <c r="N26" s="37">
        <f t="shared" si="5"/>
        <v>98</v>
      </c>
      <c r="O26" s="28">
        <v>2</v>
      </c>
      <c r="P26" s="17" t="b">
        <f t="shared" si="6"/>
        <v>0</v>
      </c>
    </row>
    <row r="27" spans="1:16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7">
        <f t="shared" si="2"/>
        <v>0.15</v>
      </c>
      <c r="K27" s="39">
        <v>7</v>
      </c>
      <c r="L27" s="37">
        <f t="shared" si="3"/>
        <v>7</v>
      </c>
      <c r="M27" s="37">
        <f t="shared" si="4"/>
        <v>0.11666666666666667</v>
      </c>
      <c r="N27" s="37">
        <f t="shared" si="5"/>
        <v>58.8</v>
      </c>
      <c r="O27" s="28">
        <v>2</v>
      </c>
      <c r="P27" s="17" t="b">
        <f t="shared" si="6"/>
        <v>0</v>
      </c>
    </row>
    <row r="28" spans="1:16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7">
        <f t="shared" si="2"/>
        <v>0.25</v>
      </c>
      <c r="K28" s="39">
        <v>7</v>
      </c>
      <c r="L28" s="37">
        <f t="shared" si="3"/>
        <v>7</v>
      </c>
      <c r="M28" s="37">
        <f t="shared" si="4"/>
        <v>0.19444444444444445</v>
      </c>
      <c r="N28" s="37">
        <f t="shared" si="5"/>
        <v>98</v>
      </c>
      <c r="O28" s="28">
        <v>2</v>
      </c>
      <c r="P28" s="17" t="b">
        <f t="shared" si="6"/>
        <v>0</v>
      </c>
    </row>
    <row r="29" spans="1:16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7">
        <f t="shared" si="2"/>
        <v>0.15</v>
      </c>
      <c r="K29" s="39">
        <v>7</v>
      </c>
      <c r="L29" s="37">
        <f t="shared" si="3"/>
        <v>7</v>
      </c>
      <c r="M29" s="37">
        <f t="shared" si="4"/>
        <v>0.11666666666666667</v>
      </c>
      <c r="N29" s="37">
        <f t="shared" si="5"/>
        <v>58.8</v>
      </c>
      <c r="O29" s="28">
        <v>2</v>
      </c>
      <c r="P29" s="17" t="b">
        <f t="shared" si="6"/>
        <v>0</v>
      </c>
    </row>
    <row r="30" spans="1:16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7">
        <f t="shared" si="2"/>
        <v>0.05</v>
      </c>
      <c r="K30" s="39">
        <v>7</v>
      </c>
      <c r="L30" s="37">
        <f t="shared" si="3"/>
        <v>7</v>
      </c>
      <c r="M30" s="37">
        <f t="shared" si="4"/>
        <v>3.888888888888889E-2</v>
      </c>
      <c r="N30" s="37">
        <f t="shared" si="5"/>
        <v>19.600000000000001</v>
      </c>
      <c r="O30" s="28">
        <v>2</v>
      </c>
      <c r="P30" s="17" t="b">
        <f t="shared" si="6"/>
        <v>0</v>
      </c>
    </row>
    <row r="31" spans="1:16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7">
        <f t="shared" si="2"/>
        <v>0.2</v>
      </c>
      <c r="K31" s="39">
        <v>7</v>
      </c>
      <c r="L31" s="37">
        <f t="shared" si="3"/>
        <v>7</v>
      </c>
      <c r="M31" s="37">
        <f t="shared" si="4"/>
        <v>0.15555555555555556</v>
      </c>
      <c r="N31" s="37">
        <f t="shared" si="5"/>
        <v>78.400000000000006</v>
      </c>
      <c r="O31" s="28">
        <v>2</v>
      </c>
      <c r="P31" s="17" t="b">
        <f t="shared" si="6"/>
        <v>0</v>
      </c>
    </row>
    <row r="32" spans="1:16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7">
        <f t="shared" si="2"/>
        <v>0.15</v>
      </c>
      <c r="K32" s="39">
        <v>7</v>
      </c>
      <c r="L32" s="37">
        <f t="shared" si="3"/>
        <v>7</v>
      </c>
      <c r="M32" s="37">
        <f t="shared" si="4"/>
        <v>0.11666666666666667</v>
      </c>
      <c r="N32" s="37">
        <f t="shared" si="5"/>
        <v>58.8</v>
      </c>
      <c r="O32" s="28">
        <v>2</v>
      </c>
      <c r="P32" s="17" t="b">
        <f t="shared" si="6"/>
        <v>0</v>
      </c>
    </row>
    <row r="33" spans="1:16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7">
        <f t="shared" si="2"/>
        <v>0.15</v>
      </c>
      <c r="K33" s="39">
        <v>7</v>
      </c>
      <c r="L33" s="37">
        <f t="shared" si="3"/>
        <v>7</v>
      </c>
      <c r="M33" s="37">
        <f t="shared" si="4"/>
        <v>0.11666666666666667</v>
      </c>
      <c r="N33" s="37">
        <f t="shared" si="5"/>
        <v>58.8</v>
      </c>
      <c r="O33" s="28">
        <v>2</v>
      </c>
      <c r="P33" s="17" t="b">
        <f t="shared" si="6"/>
        <v>0</v>
      </c>
    </row>
    <row r="34" spans="1:16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7">
        <f t="shared" si="2"/>
        <v>0.2</v>
      </c>
      <c r="K34" s="39">
        <v>7</v>
      </c>
      <c r="L34" s="37">
        <f t="shared" si="3"/>
        <v>7</v>
      </c>
      <c r="M34" s="37">
        <f t="shared" si="4"/>
        <v>0.15555555555555556</v>
      </c>
      <c r="N34" s="37">
        <f t="shared" si="5"/>
        <v>78.400000000000006</v>
      </c>
      <c r="O34" s="28">
        <v>2</v>
      </c>
      <c r="P34" s="17" t="b">
        <f t="shared" si="6"/>
        <v>0</v>
      </c>
    </row>
    <row r="35" spans="1:16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7">
        <f t="shared" si="2"/>
        <v>0.25</v>
      </c>
      <c r="K35" s="39">
        <v>7</v>
      </c>
      <c r="L35" s="37">
        <f t="shared" si="3"/>
        <v>7</v>
      </c>
      <c r="M35" s="37">
        <f t="shared" si="4"/>
        <v>0.19444444444444445</v>
      </c>
      <c r="N35" s="37">
        <f t="shared" si="5"/>
        <v>98</v>
      </c>
      <c r="O35" s="28">
        <v>2</v>
      </c>
      <c r="P35" s="17" t="b">
        <f t="shared" si="6"/>
        <v>0</v>
      </c>
    </row>
    <row r="36" spans="1:16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7">
        <f t="shared" si="2"/>
        <v>0.25</v>
      </c>
      <c r="K36" s="39">
        <v>7</v>
      </c>
      <c r="L36" s="37">
        <f t="shared" si="3"/>
        <v>7</v>
      </c>
      <c r="M36" s="37">
        <f t="shared" si="4"/>
        <v>0.19444444444444445</v>
      </c>
      <c r="N36" s="37">
        <f t="shared" si="5"/>
        <v>98</v>
      </c>
      <c r="O36" s="28">
        <v>3</v>
      </c>
      <c r="P36" s="17" t="b">
        <f t="shared" si="6"/>
        <v>0</v>
      </c>
    </row>
    <row r="37" spans="1:16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7">
        <f t="shared" si="2"/>
        <v>0.2</v>
      </c>
      <c r="K37" s="39">
        <v>7</v>
      </c>
      <c r="L37" s="37">
        <f t="shared" si="3"/>
        <v>7</v>
      </c>
      <c r="M37" s="37">
        <f t="shared" si="4"/>
        <v>0.15555555555555556</v>
      </c>
      <c r="N37" s="37">
        <f t="shared" si="5"/>
        <v>78.400000000000006</v>
      </c>
      <c r="O37" s="28">
        <v>3</v>
      </c>
      <c r="P37" s="17" t="b">
        <f t="shared" si="6"/>
        <v>0</v>
      </c>
    </row>
    <row r="38" spans="1:16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7">
        <f t="shared" si="2"/>
        <v>0.15</v>
      </c>
      <c r="K38" s="39">
        <v>7</v>
      </c>
      <c r="L38" s="37">
        <f t="shared" si="3"/>
        <v>7</v>
      </c>
      <c r="M38" s="37">
        <f t="shared" si="4"/>
        <v>0.11666666666666667</v>
      </c>
      <c r="N38" s="37">
        <f t="shared" si="5"/>
        <v>58.8</v>
      </c>
      <c r="O38" s="28">
        <v>3</v>
      </c>
      <c r="P38" s="17" t="b">
        <f t="shared" si="6"/>
        <v>0</v>
      </c>
    </row>
    <row r="39" spans="1:16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7">
        <f t="shared" si="2"/>
        <v>0.15</v>
      </c>
      <c r="K39" s="39">
        <v>7</v>
      </c>
      <c r="L39" s="37">
        <f t="shared" si="3"/>
        <v>7</v>
      </c>
      <c r="M39" s="37">
        <f t="shared" si="4"/>
        <v>0.11666666666666667</v>
      </c>
      <c r="N39" s="37">
        <f t="shared" si="5"/>
        <v>58.8</v>
      </c>
      <c r="O39" s="28">
        <v>3</v>
      </c>
      <c r="P39" s="17" t="b">
        <f t="shared" si="6"/>
        <v>0</v>
      </c>
    </row>
    <row r="40" spans="1:16" x14ac:dyDescent="0.25">
      <c r="A40" s="27"/>
      <c r="B40" s="17" t="s">
        <v>1</v>
      </c>
      <c r="C40" s="37">
        <v>4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7">
        <f t="shared" si="2"/>
        <v>0.75</v>
      </c>
      <c r="K40" s="39">
        <v>7</v>
      </c>
      <c r="L40" s="37">
        <f t="shared" si="3"/>
        <v>7</v>
      </c>
      <c r="M40" s="37">
        <f t="shared" si="4"/>
        <v>0.58333333333333337</v>
      </c>
      <c r="N40" s="37">
        <f t="shared" si="5"/>
        <v>294</v>
      </c>
      <c r="O40" s="28">
        <v>3</v>
      </c>
      <c r="P40" s="17" t="b">
        <f t="shared" si="6"/>
        <v>0</v>
      </c>
    </row>
    <row r="41" spans="1:16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7">
        <f t="shared" si="2"/>
        <v>0.75</v>
      </c>
      <c r="K41" s="39">
        <v>7</v>
      </c>
      <c r="L41" s="37">
        <f t="shared" si="3"/>
        <v>7</v>
      </c>
      <c r="M41" s="37">
        <f t="shared" si="4"/>
        <v>0.58333333333333337</v>
      </c>
      <c r="N41" s="37">
        <f t="shared" si="5"/>
        <v>294</v>
      </c>
      <c r="O41" s="28" t="s">
        <v>59</v>
      </c>
      <c r="P41" s="17" t="b">
        <f t="shared" si="6"/>
        <v>0</v>
      </c>
    </row>
    <row r="42" spans="1:16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7">
        <f t="shared" si="2"/>
        <v>0.2</v>
      </c>
      <c r="K42" s="39">
        <v>7</v>
      </c>
      <c r="L42" s="37">
        <f t="shared" si="3"/>
        <v>7</v>
      </c>
      <c r="M42" s="37">
        <f t="shared" si="4"/>
        <v>0.15555555555555556</v>
      </c>
      <c r="N42" s="37">
        <f t="shared" si="5"/>
        <v>78.400000000000006</v>
      </c>
      <c r="O42" s="28" t="s">
        <v>59</v>
      </c>
      <c r="P42" s="17" t="b">
        <f t="shared" si="6"/>
        <v>0</v>
      </c>
    </row>
    <row r="43" spans="1:16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7">
        <f t="shared" si="2"/>
        <v>0.05</v>
      </c>
      <c r="K43" s="39">
        <v>7</v>
      </c>
      <c r="L43" s="37">
        <f t="shared" si="3"/>
        <v>7</v>
      </c>
      <c r="M43" s="37">
        <f t="shared" si="4"/>
        <v>3.888888888888889E-2</v>
      </c>
      <c r="N43" s="37">
        <f t="shared" si="5"/>
        <v>19.600000000000001</v>
      </c>
      <c r="O43" s="28" t="s">
        <v>59</v>
      </c>
      <c r="P43" s="17" t="b">
        <f t="shared" si="6"/>
        <v>0</v>
      </c>
    </row>
    <row r="44" spans="1:16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7">
        <f t="shared" si="2"/>
        <v>0.1</v>
      </c>
      <c r="K44" s="39">
        <v>7</v>
      </c>
      <c r="L44" s="37">
        <f t="shared" si="3"/>
        <v>7</v>
      </c>
      <c r="M44" s="37">
        <f t="shared" si="4"/>
        <v>7.7777777777777779E-2</v>
      </c>
      <c r="N44" s="37">
        <f t="shared" si="5"/>
        <v>39.200000000000003</v>
      </c>
      <c r="O44" s="28" t="s">
        <v>59</v>
      </c>
      <c r="P44" s="17" t="b">
        <f t="shared" si="6"/>
        <v>0</v>
      </c>
    </row>
    <row r="45" spans="1:16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7">
        <f t="shared" si="2"/>
        <v>0.25</v>
      </c>
      <c r="K45" s="39">
        <v>7</v>
      </c>
      <c r="L45" s="37">
        <f t="shared" si="3"/>
        <v>7</v>
      </c>
      <c r="M45" s="37">
        <f t="shared" si="4"/>
        <v>0.19444444444444445</v>
      </c>
      <c r="N45" s="37">
        <f t="shared" si="5"/>
        <v>98</v>
      </c>
      <c r="O45" s="28" t="s">
        <v>59</v>
      </c>
      <c r="P45" s="17" t="b">
        <f t="shared" si="6"/>
        <v>0</v>
      </c>
    </row>
    <row r="46" spans="1:16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7">
        <f t="shared" si="2"/>
        <v>0.15</v>
      </c>
      <c r="K46" s="39">
        <v>7</v>
      </c>
      <c r="L46" s="37">
        <f t="shared" si="3"/>
        <v>7</v>
      </c>
      <c r="M46" s="37">
        <f t="shared" si="4"/>
        <v>0.11666666666666667</v>
      </c>
      <c r="N46" s="37">
        <f t="shared" si="5"/>
        <v>58.8</v>
      </c>
      <c r="O46" s="28" t="s">
        <v>59</v>
      </c>
      <c r="P46" s="17" t="b">
        <f t="shared" si="6"/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16" priority="24">
      <formula>$F2="Definitive"</formula>
    </cfRule>
  </conditionalFormatting>
  <conditionalFormatting sqref="O2:O46">
    <cfRule type="expression" dxfId="15" priority="38">
      <formula>$O2="Minor"</formula>
    </cfRule>
    <cfRule type="expression" dxfId="14" priority="39">
      <formula>$O2=1</formula>
    </cfRule>
    <cfRule type="expression" dxfId="13" priority="40">
      <formula>$O2=2</formula>
    </cfRule>
    <cfRule type="expression" dxfId="12" priority="41">
      <formula>$O2=3</formula>
    </cfRule>
  </conditionalFormatting>
  <conditionalFormatting sqref="P2:P46">
    <cfRule type="expression" dxfId="11" priority="16">
      <formula>P2=FALSE</formula>
    </cfRule>
    <cfRule type="expression" dxfId="10" priority="17">
      <formula>P2=TRUE</formula>
    </cfRule>
  </conditionalFormatting>
  <conditionalFormatting sqref="B2:B46 I2:I46 L2:L46 G2:G46">
    <cfRule type="expression" dxfId="9" priority="1">
      <formula>AND($D2&lt;5, NOT(ISBLANK($D2)))</formula>
    </cfRule>
    <cfRule type="expression" dxfId="8" priority="4">
      <formula>AND($G2=1, $M2&gt;0, NOT(ISBLANK($D2)))</formula>
    </cfRule>
    <cfRule type="expression" dxfId="7" priority="5">
      <formula>ISBLANK($D2)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G22" sqref="G22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86</v>
      </c>
      <c r="G1" s="4" t="s">
        <v>75</v>
      </c>
      <c r="H1" s="4" t="s">
        <v>72</v>
      </c>
      <c r="I1" s="4" t="s">
        <v>74</v>
      </c>
      <c r="J1" s="4" t="s">
        <v>73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 t="shared" ref="H2:H28" si="0"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 t="shared" ref="J2:J28" si="1">MAX((I2-C2)*D2/SUM($D$2:$D$28), 0)</f>
        <v>0.23204419889502761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 t="shared" si="0"/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 t="shared" si="1"/>
        <v>0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 t="shared" si="0"/>
        <v>0.2983425414364641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 t="shared" si="1"/>
        <v>0.23204419889502761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34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 t="shared" si="0"/>
        <v>0.2983425414364641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 t="shared" si="1"/>
        <v>0.23204419889502761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 t="shared" si="0"/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 t="shared" si="1"/>
        <v>0.34806629834254144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 t="shared" si="0"/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 t="shared" si="1"/>
        <v>7.7348066298342538E-2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 t="shared" si="0"/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 t="shared" si="1"/>
        <v>0.27071823204419887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 t="shared" si="0"/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 t="shared" si="1"/>
        <v>0.19337016574585636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 t="shared" si="0"/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 t="shared" si="1"/>
        <v>0.34806629834254144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 t="shared" si="0"/>
        <v>0.2983425414364641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 t="shared" si="1"/>
        <v>0.23204419889502761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 t="shared" si="0"/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 t="shared" si="1"/>
        <v>0.30939226519337015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 t="shared" si="0"/>
        <v>0.34806629834254144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 t="shared" si="1"/>
        <v>0.27071823204419887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 t="shared" si="0"/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 t="shared" si="1"/>
        <v>0.30939226519337015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 t="shared" si="0"/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 t="shared" si="1"/>
        <v>0.30939226519337015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 t="shared" si="0"/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 t="shared" si="1"/>
        <v>0.23204419889502761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 t="shared" si="0"/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 t="shared" si="1"/>
        <v>0.30939226519337015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 t="shared" si="0"/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 t="shared" si="1"/>
        <v>0.27071823204419887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 t="shared" si="0"/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 t="shared" si="1"/>
        <v>0.30939226519337015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 t="shared" si="0"/>
        <v>0.2983425414364641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 t="shared" si="1"/>
        <v>0.23204419889502761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 t="shared" si="0"/>
        <v>0.7458563535911602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 t="shared" si="1"/>
        <v>0.58011049723756902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 t="shared" si="0"/>
        <v>0.44751381215469616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 t="shared" si="1"/>
        <v>0.34806629834254144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 t="shared" si="0"/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 t="shared" si="1"/>
        <v>7.7348066298342538E-2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 t="shared" si="0"/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 t="shared" si="1"/>
        <v>0.15469613259668508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 t="shared" si="0"/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 t="shared" si="1"/>
        <v>0.58011049723756902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 t="shared" si="0"/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 t="shared" si="1"/>
        <v>3.8674033149171269E-2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 t="shared" si="0"/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 t="shared" si="1"/>
        <v>0.19337016574585636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 t="shared" si="0"/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 t="shared" si="1"/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6" priority="4">
      <formula>$E2="Minor"</formula>
    </cfRule>
    <cfRule type="expression" dxfId="5" priority="5">
      <formula>$E2=1</formula>
    </cfRule>
    <cfRule type="expression" dxfId="4" priority="6">
      <formula>$E2=2</formula>
    </cfRule>
    <cfRule type="expression" dxfId="3" priority="7">
      <formula>$E2=3</formula>
    </cfRule>
  </conditionalFormatting>
  <conditionalFormatting sqref="F2:F28">
    <cfRule type="expression" dxfId="2" priority="2">
      <formula>F2=FALSE</formula>
    </cfRule>
    <cfRule type="expression" dxfId="1" priority="3">
      <formula>F2=TRUE</formula>
    </cfRule>
  </conditionalFormatting>
  <conditionalFormatting sqref="B2:C28">
    <cfRule type="expression" dxfId="0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2021-05-17T14:38:50Z</dcterms:modified>
</cp:coreProperties>
</file>