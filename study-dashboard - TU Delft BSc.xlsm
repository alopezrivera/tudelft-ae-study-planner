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E9EFDECD-ED58-465B-AEA4-3858E0501BA0}" xr6:coauthVersionLast="47" xr6:coauthVersionMax="47" xr10:uidLastSave="{00000000-0000-0000-0000-000000000000}"/>
  <bookViews>
    <workbookView xWindow="25974" yWindow="-2078" windowWidth="34071" windowHeight="19779" xr2:uid="{00000000-000D-0000-FFFF-FFFF00000000}"/>
  </bookViews>
  <sheets>
    <sheet name="Dashboard - Quarter" sheetId="14" r:id="rId1"/>
    <sheet name="Dashboard - Exams" sheetId="5" r:id="rId2"/>
    <sheet name="Modules" sheetId="2" r:id="rId3"/>
    <sheet name="Courses" sheetId="1" r:id="rId4"/>
  </sheets>
  <definedNames>
    <definedName name="_xlpm.courses" hidden="1" xlm="1">#NAME?</definedName>
    <definedName name="_xlpm.courses_wo_V" hidden="1" xlm="1">#NAME?</definedName>
    <definedName name="_xlpm.cumulative_grade" hidden="1" xlm="1">#NAME?</definedName>
    <definedName name="_xlpm.ECTS" hidden="1" xlm="1">#NAME?</definedName>
    <definedName name="_xlpm.g" hidden="1" xlm="1">#NAME?</definedName>
    <definedName name="_xlpm.gr" hidden="1" xlm="1">#NAME?</definedName>
    <definedName name="_xlpm.gra" hidden="1" xlm="1">#NAME?</definedName>
    <definedName name="_xlpm.grad" hidden="1" xlm="1">#NAME?</definedName>
    <definedName name="_xlpm.grade" hidden="1" xlm="1">#NAME?</definedName>
    <definedName name="_xlpm.grade_" hidden="1" xlm="1">#NAME?</definedName>
    <definedName name="_xlpm.grade_c" hidden="1" xlm="1">#NAME?</definedName>
    <definedName name="_xlpm.grade_cu" hidden="1" xlm="1">#NAME?</definedName>
    <definedName name="_xlpm.grade_cum" hidden="1" xlm="1">#NAME?</definedName>
    <definedName name="_xlpm.grade_cumu" hidden="1" xlm="1">#NAME?</definedName>
    <definedName name="_xlpm.grade_cumul" hidden="1" xlm="1">#NAME?</definedName>
    <definedName name="_xlpm.grade_cumula" hidden="1" xlm="1">#NAME?</definedName>
    <definedName name="_xlpm.grade_cumulat" hidden="1" xlm="1">#NAME?</definedName>
    <definedName name="_xlpm.grade_cumulati" hidden="1" xlm="1">#NAME?</definedName>
    <definedName name="_xlpm.grade_cumulativ" hidden="1" xlm="1">#NAME?</definedName>
    <definedName name="_xlpm.grade_cumulative" hidden="1" xlm="1">#NAME?</definedName>
    <definedName name="_xlpm.grade_planned" hidden="1" xlm="1">#NAME?</definedName>
    <definedName name="_xlpm.grades" hidden="1" xlm="1">#NAME?</definedName>
    <definedName name="_xlpm.I0" hidden="1" xlm="1">#NAME?</definedName>
    <definedName name="_xlpm.IL0" hidden="1" xlm="1">#NAME?</definedName>
    <definedName name="_xlpm.ILT0" hidden="1" xlm="1">#NAME?</definedName>
    <definedName name="_xlpm.ILTE0" hidden="1" xlm="1">#NAME?</definedName>
    <definedName name="_xlpm.ILTER0" hidden="1" xlm="1">#NAME?</definedName>
    <definedName name="_xlpm.m" hidden="1" xlm="1">#NAME?</definedName>
    <definedName name="_xlpm.magrades" hidden="1" xlm="1">#NAME?</definedName>
    <definedName name="_xlpm.max_grades" hidden="1" xlm="1">#NAME?</definedName>
    <definedName name="_xlpm.maxgrades" hidden="1" xlm="1">#NAME?</definedName>
    <definedName name="_xlpm.mgrades" hidden="1" xlm="1">#NAME?</definedName>
    <definedName name="_xlpm.mo" hidden="1" xlm="1">#NAME?</definedName>
    <definedName name="_xlpm.mod" hidden="1" xlm="1">#NAME?</definedName>
    <definedName name="_xlpm.mod_" hidden="1" xlm="1">#NAME?</definedName>
    <definedName name="_xlpm.mod_a" hidden="1" xlm="1">#NAME?</definedName>
    <definedName name="_xlpm.mod_al" hidden="1" xlm="1">#NAME?</definedName>
    <definedName name="_xlpm.mod_all" hidden="1" xlm="1">#NAME?</definedName>
    <definedName name="_xlpm.mod_all_ECTS" hidden="1" xlm="1">#NAME?</definedName>
    <definedName name="_xlpm.mod_ECTS" hidden="1" xlm="1">#NAME?</definedName>
    <definedName name="_xlpm.mod_grades" hidden="1" xlm="1">#NAME?</definedName>
    <definedName name="_xlpm.mod_m" hidden="1" xlm="1">#NAME?</definedName>
    <definedName name="_xlpm.mod_ma" hidden="1" xlm="1">#NAME?</definedName>
    <definedName name="_xlpm.mod_max" hidden="1" xlm="1">#NAME?</definedName>
    <definedName name="_xlpm.mod_p" hidden="1" xlm="1">#NAME?</definedName>
    <definedName name="_xlpm.mod_pa" hidden="1" xlm="1">#NAME?</definedName>
    <definedName name="_xlpm.mod_pas" hidden="1" xlm="1">#NAME?</definedName>
    <definedName name="_xlpm.mod_pass" hidden="1" xlm="1">#NAME?</definedName>
    <definedName name="_xlpm.mod_passe" hidden="1" xlm="1">#NAME?</definedName>
    <definedName name="_xlpm.mod_passed" hidden="1" xlm="1">#NAME?</definedName>
    <definedName name="_xlpm.mod_passed_contr" hidden="1" xlm="1">#NAME?</definedName>
    <definedName name="_xlpm.mod_passed_ECTS" hidden="1" xlm="1">#NAME?</definedName>
    <definedName name="_xlpm.mod_passed_grades" hidden="1" xlm="1">#NAME?</definedName>
    <definedName name="_xlpm.mod_passed_wo_Minor" hidden="1" xlm="1">#NAME?</definedName>
    <definedName name="_xlpm.mod_passedwo_Minor" hidden="1" xlm="1">#NAME?</definedName>
    <definedName name="_xlpm.mod_passewo_Minor" hidden="1" xlm="1">#NAME?</definedName>
    <definedName name="_xlpm.mod_passwo_Minor" hidden="1" xlm="1">#NAME?</definedName>
    <definedName name="_xlpm.mod_paswo_Minor" hidden="1" xlm="1">#NAME?</definedName>
    <definedName name="_xlpm.mod_pawo_Minor" hidden="1" xlm="1">#NAME?</definedName>
    <definedName name="_xlpm.mod_pln" hidden="1" xlm="1">#NAME?</definedName>
    <definedName name="_xlpm.mod_pln_contr" hidden="1" xlm="1">#NAME?</definedName>
    <definedName name="_xlpm.mod_pwo_Minor" hidden="1" xlm="1">#NAME?</definedName>
    <definedName name="_xlpm.mod_wo_Minor" hidden="1" xlm="1">#NAME?</definedName>
    <definedName name="_xlpm.modu" hidden="1" xlm="1">#NAME?</definedName>
    <definedName name="_xlpm.modul" hidden="1" xlm="1">#NAME?</definedName>
    <definedName name="_xlpm.module" hidden="1" xlm="1">#NAME?</definedName>
    <definedName name="_xlpm.module_array" hidden="1" xlm="1">#NAME?</definedName>
    <definedName name="_xlpm.modules" hidden="1" xlm="1">#NAME?</definedName>
    <definedName name="_xlpm.p_grades" hidden="1" xlm="1">#NAME?</definedName>
    <definedName name="_xlpm.passed_modules" hidden="1" xlm="1">#NAME?</definedName>
    <definedName name="_xlpm.pgrades" hidden="1" xlm="1">#NAME?</definedName>
    <definedName name="_xlpm.pl_grades" hidden="1" xlm="1">#NAME?</definedName>
    <definedName name="_xlpm.plgrades" hidden="1" xlm="1">#NAME?</definedName>
    <definedName name="_xlpm.pln_grades" hidden="1" xlm="1">#NAME?</definedName>
    <definedName name="_xlpm.plngrad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4" l="1"/>
  <c r="I32" i="1"/>
  <c r="K17" i="1" l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D9" i="2" a="1"/>
  <c r="D9" i="2" s="1"/>
  <c r="D12" i="2" a="1"/>
  <c r="D12" i="2" s="1"/>
  <c r="C28" i="2" a="1"/>
  <c r="C28" i="2" s="1"/>
  <c r="C11" i="2" a="1"/>
  <c r="C11" i="2" s="1"/>
  <c r="C10" i="2" a="1"/>
  <c r="C10" i="2" s="1"/>
  <c r="C9" i="2" a="1"/>
  <c r="C9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C19" i="2" a="1"/>
  <c r="C19" i="2" s="1"/>
  <c r="C18" i="2" a="1"/>
  <c r="C18" i="2" s="1"/>
  <c r="C17" i="2" a="1"/>
  <c r="C17" i="2" s="1"/>
  <c r="C16" i="2" a="1"/>
  <c r="C16" i="2" s="1"/>
  <c r="C15" i="2" a="1"/>
  <c r="C15" i="2" s="1"/>
  <c r="C14" i="2" a="1"/>
  <c r="C14" i="2" s="1"/>
  <c r="C13" i="2" a="1"/>
  <c r="C13" i="2" s="1"/>
  <c r="C12" i="2" a="1"/>
  <c r="C12" i="2" s="1"/>
  <c r="C21" i="2" a="1"/>
  <c r="C21" i="2" s="1"/>
  <c r="C20" i="2" a="1"/>
  <c r="C20" i="2" s="1"/>
  <c r="C22" i="2" a="1"/>
  <c r="C22" i="2" s="1"/>
  <c r="C25" i="2" a="1"/>
  <c r="C25" i="2" s="1"/>
  <c r="C24" i="2" a="1"/>
  <c r="C24" i="2" s="1"/>
  <c r="C23" i="2" a="1"/>
  <c r="C23" i="2" s="1"/>
  <c r="C27" i="2" a="1"/>
  <c r="C27" i="2" s="1"/>
  <c r="C26" i="2" a="1"/>
  <c r="C26" i="2" s="1"/>
  <c r="D23" i="2" l="1" a="1"/>
  <c r="D23" i="2" s="1"/>
  <c r="D24" i="2" a="1"/>
  <c r="D24" i="2" s="1"/>
  <c r="D25" i="2" a="1"/>
  <c r="D25" i="2" s="1"/>
  <c r="D26" i="2" a="1"/>
  <c r="D26" i="2" s="1"/>
  <c r="D27" i="2" a="1"/>
  <c r="D27" i="2" s="1"/>
  <c r="D28" i="2" a="1"/>
  <c r="D28" i="2" s="1"/>
  <c r="D22" i="2" a="1"/>
  <c r="D22" i="2" s="1"/>
  <c r="D20" i="2" a="1"/>
  <c r="D20" i="2" s="1"/>
  <c r="D21" i="2" a="1"/>
  <c r="D21" i="2" s="1"/>
  <c r="D13" i="2" a="1"/>
  <c r="D13" i="2" s="1"/>
  <c r="D14" i="2" a="1"/>
  <c r="D14" i="2" s="1"/>
  <c r="D15" i="2" a="1"/>
  <c r="D15" i="2" s="1"/>
  <c r="D16" i="2" a="1"/>
  <c r="D16" i="2" s="1"/>
  <c r="D17" i="2" a="1"/>
  <c r="D17" i="2" s="1"/>
  <c r="D18" i="2" a="1"/>
  <c r="D18" i="2" s="1"/>
  <c r="D19" i="2" a="1"/>
  <c r="D19" i="2" s="1"/>
  <c r="D2" i="2" a="1"/>
  <c r="D2" i="2" s="1"/>
  <c r="D3" i="2" a="1"/>
  <c r="D3" i="2" s="1"/>
  <c r="D4" i="2" a="1"/>
  <c r="D4" i="2" s="1"/>
  <c r="D5" i="2" a="1"/>
  <c r="D5" i="2" s="1"/>
  <c r="D6" i="2" a="1"/>
  <c r="D6" i="2" s="1"/>
  <c r="D7" i="2" a="1"/>
  <c r="D7" i="2" s="1"/>
  <c r="D8" i="2" a="1"/>
  <c r="D8" i="2" s="1"/>
  <c r="D10" i="2" a="1"/>
  <c r="D10" i="2" s="1"/>
  <c r="D11" i="2" a="1"/>
  <c r="D11" i="2" s="1"/>
  <c r="L16" i="1"/>
  <c r="L15" i="1"/>
  <c r="L12" i="1"/>
  <c r="L13" i="1"/>
  <c r="L10" i="1"/>
  <c r="L9" i="1"/>
  <c r="L8" i="1"/>
  <c r="L7" i="1"/>
  <c r="L6" i="1"/>
  <c r="L5" i="1"/>
  <c r="L4" i="1"/>
  <c r="L3" i="1"/>
  <c r="L2" i="1"/>
  <c r="L33" i="1"/>
  <c r="L34" i="1"/>
  <c r="L35" i="1"/>
  <c r="L31" i="1"/>
  <c r="L32" i="1"/>
  <c r="L28" i="1"/>
  <c r="L30" i="1"/>
  <c r="L25" i="1"/>
  <c r="L27" i="1"/>
  <c r="L26" i="1"/>
  <c r="L24" i="1"/>
  <c r="L22" i="1"/>
  <c r="L20" i="1"/>
  <c r="L19" i="1"/>
  <c r="L21" i="1"/>
  <c r="L23" i="1"/>
  <c r="L40" i="1"/>
  <c r="L39" i="1"/>
  <c r="L38" i="1"/>
  <c r="L37" i="1"/>
  <c r="L46" i="1"/>
  <c r="L44" i="1"/>
  <c r="L41" i="1"/>
  <c r="L42" i="1"/>
  <c r="L45" i="1"/>
  <c r="L43" i="1"/>
  <c r="L18" i="1"/>
  <c r="B43" i="5" l="1" a="1"/>
  <c r="B43" i="5" s="1"/>
  <c r="L11" i="1"/>
  <c r="L17" i="1"/>
  <c r="L14" i="1"/>
  <c r="L29" i="1"/>
  <c r="L36" i="1"/>
  <c r="E7" i="14" l="1"/>
  <c r="F33" i="1" l="1"/>
  <c r="F11" i="1"/>
  <c r="F34" i="1"/>
  <c r="F17" i="1"/>
  <c r="F35" i="1"/>
  <c r="F31" i="1"/>
  <c r="F32" i="1"/>
  <c r="F16" i="1"/>
  <c r="F15" i="1"/>
  <c r="F40" i="1"/>
  <c r="F39" i="1"/>
  <c r="F38" i="1"/>
  <c r="F37" i="1"/>
  <c r="F29" i="1"/>
  <c r="F28" i="1"/>
  <c r="F30" i="1"/>
  <c r="F14" i="1"/>
  <c r="F12" i="1"/>
  <c r="F13" i="1"/>
  <c r="F36" i="1"/>
  <c r="F25" i="1"/>
  <c r="F10" i="1"/>
  <c r="F9" i="1"/>
  <c r="F8" i="1"/>
  <c r="F27" i="1"/>
  <c r="F7" i="1"/>
  <c r="F46" i="1"/>
  <c r="F26" i="1"/>
  <c r="F24" i="1"/>
  <c r="F44" i="1"/>
  <c r="F41" i="1"/>
  <c r="F22" i="1"/>
  <c r="F20" i="1"/>
  <c r="F6" i="1"/>
  <c r="B13" i="5" s="1" a="1"/>
  <c r="B13" i="5" s="1"/>
  <c r="F5" i="1"/>
  <c r="F19" i="1"/>
  <c r="F21" i="1"/>
  <c r="F42" i="1"/>
  <c r="F45" i="1"/>
  <c r="F43" i="1"/>
  <c r="F23" i="1"/>
  <c r="F4" i="1"/>
  <c r="F3" i="1"/>
  <c r="F2" i="1"/>
  <c r="F18" i="1"/>
  <c r="N3" i="1"/>
  <c r="N4" i="1"/>
  <c r="N23" i="1"/>
  <c r="N43" i="1"/>
  <c r="N45" i="1"/>
  <c r="N42" i="1"/>
  <c r="N21" i="1"/>
  <c r="N19" i="1"/>
  <c r="N5" i="1"/>
  <c r="N6" i="1"/>
  <c r="N20" i="1"/>
  <c r="N22" i="1"/>
  <c r="N41" i="1"/>
  <c r="N44" i="1"/>
  <c r="N24" i="1"/>
  <c r="N26" i="1"/>
  <c r="N46" i="1"/>
  <c r="N7" i="1"/>
  <c r="N27" i="1"/>
  <c r="N8" i="1"/>
  <c r="N9" i="1"/>
  <c r="N10" i="1"/>
  <c r="N25" i="1"/>
  <c r="N36" i="1"/>
  <c r="N13" i="1"/>
  <c r="N12" i="1"/>
  <c r="N14" i="1"/>
  <c r="N30" i="1"/>
  <c r="N28" i="1"/>
  <c r="N29" i="1"/>
  <c r="N37" i="1"/>
  <c r="N38" i="1"/>
  <c r="N39" i="1"/>
  <c r="N40" i="1"/>
  <c r="N15" i="1"/>
  <c r="N16" i="1"/>
  <c r="N32" i="1"/>
  <c r="N31" i="1"/>
  <c r="N35" i="1"/>
  <c r="N17" i="1"/>
  <c r="N34" i="1"/>
  <c r="N11" i="1"/>
  <c r="N33" i="1"/>
  <c r="N18" i="1"/>
  <c r="N2" i="1"/>
  <c r="E28" i="2" a="1"/>
  <c r="E28" i="2" s="1"/>
  <c r="E19" i="2" a="1"/>
  <c r="E19" i="2" s="1"/>
  <c r="E11" i="2" a="1"/>
  <c r="E11" i="2" s="1"/>
  <c r="E10" i="2" a="1"/>
  <c r="E10" i="2" s="1"/>
  <c r="E27" i="2" a="1"/>
  <c r="E27" i="2" s="1"/>
  <c r="E26" i="2" a="1"/>
  <c r="E26" i="2" s="1"/>
  <c r="E25" i="2" a="1"/>
  <c r="E25" i="2" s="1"/>
  <c r="E24" i="2" a="1"/>
  <c r="E24" i="2" s="1"/>
  <c r="E23" i="2" a="1"/>
  <c r="E23" i="2" s="1"/>
  <c r="E21" i="2" a="1"/>
  <c r="E21" i="2" s="1"/>
  <c r="E20" i="2" a="1"/>
  <c r="E20" i="2" s="1"/>
  <c r="E22" i="2" a="1"/>
  <c r="E22" i="2" s="1"/>
  <c r="E18" i="2" a="1"/>
  <c r="E18" i="2" s="1"/>
  <c r="E17" i="2" a="1"/>
  <c r="E17" i="2" s="1"/>
  <c r="E16" i="2" a="1"/>
  <c r="E16" i="2" s="1"/>
  <c r="E15" i="2" a="1"/>
  <c r="E15" i="2" s="1"/>
  <c r="E14" i="2" a="1"/>
  <c r="E14" i="2" s="1"/>
  <c r="E13" i="2" a="1"/>
  <c r="E13" i="2" s="1"/>
  <c r="E12" i="2" a="1"/>
  <c r="E12" i="2" s="1"/>
  <c r="E9" i="2" a="1"/>
  <c r="E9" i="2" s="1"/>
  <c r="E8" i="2" a="1"/>
  <c r="E8" i="2" s="1"/>
  <c r="E7" i="2" a="1"/>
  <c r="E7" i="2" s="1"/>
  <c r="E6" i="2" a="1"/>
  <c r="E6" i="2" s="1"/>
  <c r="E5" i="2" a="1"/>
  <c r="E5" i="2" s="1"/>
  <c r="E4" i="2" a="1"/>
  <c r="E4" i="2" s="1"/>
  <c r="E3" i="2" a="1"/>
  <c r="E3" i="2" s="1"/>
  <c r="E2" i="2" a="1"/>
  <c r="E2" i="2" s="1"/>
  <c r="F10" i="2" a="1"/>
  <c r="F10" i="2" s="1"/>
  <c r="I17" i="2" l="1" a="1"/>
  <c r="I17" i="2" s="1"/>
  <c r="J17" i="2" s="1"/>
  <c r="G17" i="2" a="1"/>
  <c r="G17" i="2" s="1"/>
  <c r="H17" i="2" s="1"/>
  <c r="G14" i="2" a="1"/>
  <c r="G14" i="2" s="1"/>
  <c r="H14" i="2" s="1"/>
  <c r="I14" i="2" a="1"/>
  <c r="I14" i="2" s="1"/>
  <c r="J14" i="2" s="1"/>
  <c r="G12" i="2" a="1"/>
  <c r="G12" i="2" s="1"/>
  <c r="H12" i="2" s="1"/>
  <c r="I12" i="2" a="1"/>
  <c r="I12" i="2" s="1"/>
  <c r="J12" i="2" s="1"/>
  <c r="G5" i="2" a="1"/>
  <c r="G5" i="2" s="1"/>
  <c r="H5" i="2" s="1"/>
  <c r="I5" i="2" a="1"/>
  <c r="I5" i="2" s="1"/>
  <c r="J5" i="2" s="1"/>
  <c r="G21" i="2" a="1"/>
  <c r="G21" i="2" s="1"/>
  <c r="H21" i="2" s="1"/>
  <c r="I21" i="2" a="1"/>
  <c r="I21" i="2" s="1"/>
  <c r="J21" i="2" s="1"/>
  <c r="I11" i="2" a="1"/>
  <c r="I11" i="2" s="1"/>
  <c r="J11" i="2" s="1"/>
  <c r="G11" i="2" a="1"/>
  <c r="G11" i="2" s="1"/>
  <c r="H11" i="2" s="1"/>
  <c r="G3" i="2" a="1"/>
  <c r="G3" i="2" s="1"/>
  <c r="H3" i="2" s="1"/>
  <c r="I3" i="2" a="1"/>
  <c r="I3" i="2" s="1"/>
  <c r="J3" i="2" s="1"/>
  <c r="G22" i="2" a="1"/>
  <c r="G22" i="2" s="1"/>
  <c r="H22" i="2" s="1"/>
  <c r="I22" i="2" a="1"/>
  <c r="I22" i="2" s="1"/>
  <c r="J22" i="2" s="1"/>
  <c r="I23" i="2" a="1"/>
  <c r="I23" i="2" s="1"/>
  <c r="J23" i="2" s="1"/>
  <c r="G23" i="2" a="1"/>
  <c r="G23" i="2" s="1"/>
  <c r="H23" i="2" s="1"/>
  <c r="G9" i="2" a="1"/>
  <c r="G9" i="2" s="1"/>
  <c r="H9" i="2" s="1"/>
  <c r="G8" i="2" a="1"/>
  <c r="G8" i="2" s="1"/>
  <c r="H8" i="2" s="1"/>
  <c r="I9" i="2" a="1"/>
  <c r="I9" i="2" s="1"/>
  <c r="J9" i="2" s="1"/>
  <c r="I8" i="2" a="1"/>
  <c r="I8" i="2" s="1"/>
  <c r="J8" i="2" s="1"/>
  <c r="I26" i="2" a="1"/>
  <c r="I26" i="2" s="1"/>
  <c r="J26" i="2" s="1"/>
  <c r="G26" i="2" a="1"/>
  <c r="G26" i="2" s="1"/>
  <c r="H26" i="2" s="1"/>
  <c r="I2" i="2" a="1"/>
  <c r="I2" i="2" s="1"/>
  <c r="J2" i="2" s="1"/>
  <c r="G2" i="2" a="1"/>
  <c r="G2" i="2" s="1"/>
  <c r="H2" i="2" s="1"/>
  <c r="B30" i="5" a="1"/>
  <c r="B30" i="5" s="1"/>
  <c r="G10" i="2" a="1"/>
  <c r="G10" i="2" s="1"/>
  <c r="H10" i="2" s="1"/>
  <c r="I10" i="2" a="1"/>
  <c r="I10" i="2" s="1"/>
  <c r="J10" i="2" s="1"/>
  <c r="G13" i="2" a="1"/>
  <c r="G13" i="2" s="1"/>
  <c r="H13" i="2" s="1"/>
  <c r="I13" i="2" a="1"/>
  <c r="I13" i="2" s="1"/>
  <c r="J13" i="2" s="1"/>
  <c r="G6" i="2" a="1"/>
  <c r="G6" i="2" s="1"/>
  <c r="H6" i="2" s="1"/>
  <c r="I6" i="2" a="1"/>
  <c r="I6" i="2" s="1"/>
  <c r="J6" i="2" s="1"/>
  <c r="I19" i="2" a="1"/>
  <c r="I19" i="2" s="1"/>
  <c r="J19" i="2" s="1"/>
  <c r="G19" i="2" a="1"/>
  <c r="G19" i="2" s="1"/>
  <c r="H19" i="2" s="1"/>
  <c r="G20" i="2" a="1"/>
  <c r="G20" i="2" s="1"/>
  <c r="H20" i="2" s="1"/>
  <c r="I20" i="2" a="1"/>
  <c r="I20" i="2" s="1"/>
  <c r="J20" i="2" s="1"/>
  <c r="G4" i="2" a="1"/>
  <c r="G4" i="2" s="1"/>
  <c r="H4" i="2" s="1"/>
  <c r="I4" i="2" a="1"/>
  <c r="I4" i="2" s="1"/>
  <c r="J4" i="2" s="1"/>
  <c r="I25" i="2" a="1"/>
  <c r="I25" i="2" s="1"/>
  <c r="J25" i="2" s="1"/>
  <c r="G25" i="2" a="1"/>
  <c r="G25" i="2" s="1"/>
  <c r="H25" i="2" s="1"/>
  <c r="G7" i="2" a="1"/>
  <c r="G7" i="2" s="1"/>
  <c r="H7" i="2" s="1"/>
  <c r="I7" i="2" a="1"/>
  <c r="I7" i="2" s="1"/>
  <c r="J7" i="2" s="1"/>
  <c r="G15" i="2" a="1"/>
  <c r="G15" i="2" s="1"/>
  <c r="H15" i="2" s="1"/>
  <c r="I15" i="2" a="1"/>
  <c r="I15" i="2" s="1"/>
  <c r="J15" i="2" s="1"/>
  <c r="I24" i="2" a="1"/>
  <c r="I24" i="2" s="1"/>
  <c r="J24" i="2" s="1"/>
  <c r="G24" i="2" a="1"/>
  <c r="G24" i="2" s="1"/>
  <c r="H24" i="2" s="1"/>
  <c r="G16" i="2" a="1"/>
  <c r="G16" i="2" s="1"/>
  <c r="H16" i="2" s="1"/>
  <c r="I16" i="2" a="1"/>
  <c r="I16" i="2" s="1"/>
  <c r="J16" i="2" s="1"/>
  <c r="I18" i="2" a="1"/>
  <c r="I18" i="2" s="1"/>
  <c r="J18" i="2" s="1"/>
  <c r="G18" i="2" a="1"/>
  <c r="G18" i="2" s="1"/>
  <c r="H18" i="2" s="1"/>
  <c r="I28" i="2" a="1"/>
  <c r="I28" i="2" s="1"/>
  <c r="J28" i="2" s="1"/>
  <c r="G28" i="2" a="1"/>
  <c r="G28" i="2" s="1"/>
  <c r="H28" i="2" s="1"/>
  <c r="I27" i="2" a="1"/>
  <c r="I27" i="2" s="1"/>
  <c r="J27" i="2" s="1"/>
  <c r="G27" i="2" a="1"/>
  <c r="G27" i="2" s="1"/>
  <c r="H27" i="2" s="1"/>
  <c r="J13" i="5" a="1"/>
  <c r="J13" i="5" s="1"/>
  <c r="F21" i="2" a="1"/>
  <c r="F21" i="2" s="1"/>
  <c r="F20" i="2" a="1"/>
  <c r="F20" i="2" s="1"/>
  <c r="J30" i="5" a="1"/>
  <c r="J30" i="5" s="1"/>
  <c r="F19" i="2" a="1"/>
  <c r="F19" i="2" s="1"/>
  <c r="F18" i="2" l="1" a="1"/>
  <c r="F18" i="2" s="1"/>
  <c r="F6" i="2" a="1"/>
  <c r="F6" i="2" s="1"/>
  <c r="F26" i="2" a="1"/>
  <c r="F26" i="2" s="1"/>
  <c r="F12" i="2" a="1"/>
  <c r="F12" i="2" s="1"/>
  <c r="F4" i="2" a="1"/>
  <c r="F4" i="2" s="1"/>
  <c r="F24" i="2" a="1"/>
  <c r="F24" i="2" s="1"/>
  <c r="F7" i="2" a="1"/>
  <c r="F7" i="2" s="1"/>
  <c r="F15" i="2" a="1"/>
  <c r="F15" i="2" s="1"/>
  <c r="F5" i="2" a="1"/>
  <c r="F5" i="2" s="1"/>
  <c r="F22" i="2" a="1"/>
  <c r="F22" i="2" s="1"/>
  <c r="F17" i="2" a="1"/>
  <c r="F17" i="2" s="1"/>
  <c r="F23" i="2" a="1"/>
  <c r="F23" i="2" s="1"/>
  <c r="F16" i="2" a="1"/>
  <c r="F16" i="2" s="1"/>
  <c r="F13" i="2" a="1"/>
  <c r="F13" i="2" s="1"/>
  <c r="F2" i="2" a="1"/>
  <c r="F2" i="2" s="1"/>
  <c r="F14" i="2" a="1"/>
  <c r="F14" i="2" s="1"/>
  <c r="F8" i="2" a="1"/>
  <c r="F8" i="2" s="1"/>
  <c r="F9" i="2" a="1"/>
  <c r="F9" i="2" s="1"/>
  <c r="F27" i="2" a="1"/>
  <c r="F27" i="2" s="1"/>
  <c r="F3" i="2" a="1"/>
  <c r="F3" i="2" s="1"/>
  <c r="F11" i="2" a="1"/>
  <c r="F11" i="2" s="1"/>
  <c r="F28" i="2" a="1"/>
  <c r="F28" i="2" s="1"/>
  <c r="F25" i="2" a="1"/>
  <c r="F25" i="2" s="1"/>
  <c r="C6" i="5" l="1" a="1"/>
  <c r="C6" i="5" s="1"/>
  <c r="C7" i="5" a="1"/>
  <c r="C7" i="5" s="1"/>
  <c r="C3" i="5" a="1"/>
  <c r="C3" i="5" s="1"/>
  <c r="C2" i="5" a="1"/>
  <c r="C2" i="5" s="1"/>
  <c r="C5" i="5" s="1" a="1"/>
  <c r="C5" i="5" s="1"/>
  <c r="H15" i="14" a="1"/>
  <c r="H10" i="14" a="1"/>
  <c r="H12" i="14" a="1"/>
  <c r="H13" i="14" a="1"/>
  <c r="H6" i="14" a="1"/>
  <c r="H11" i="14" a="1"/>
  <c r="H7" i="14" a="1"/>
  <c r="H14" i="14" a="1"/>
  <c r="H17" i="14" a="1"/>
  <c r="H8" i="14" a="1"/>
  <c r="H9" i="14" a="1"/>
  <c r="H5" i="14" a="1"/>
  <c r="H18" i="14" a="1"/>
  <c r="H19" i="14" a="1"/>
  <c r="H16" i="14" a="1"/>
  <c r="C4" i="5" l="1" a="1"/>
  <c r="C4" i="5" s="1"/>
  <c r="H17" i="14"/>
  <c r="I17" i="14" s="1" a="1"/>
  <c r="I17" i="14" s="1"/>
  <c r="H13" i="14"/>
  <c r="I13" i="14" s="1" a="1"/>
  <c r="I13" i="14" s="1"/>
  <c r="H10" i="14"/>
  <c r="I10" i="14" s="1" a="1"/>
  <c r="I10" i="14" s="1"/>
  <c r="H16" i="14"/>
  <c r="I16" i="14" s="1" a="1"/>
  <c r="I16" i="14" s="1"/>
  <c r="H12" i="14"/>
  <c r="I12" i="14" s="1" a="1"/>
  <c r="I12" i="14" s="1"/>
  <c r="H19" i="14"/>
  <c r="I19" i="14" s="1" a="1"/>
  <c r="I19" i="14" s="1"/>
  <c r="H15" i="14"/>
  <c r="I15" i="14" s="1" a="1"/>
  <c r="I15" i="14" s="1"/>
  <c r="H14" i="14"/>
  <c r="I14" i="14" s="1" a="1"/>
  <c r="I14" i="14" s="1"/>
  <c r="H18" i="14"/>
  <c r="I18" i="14" s="1" a="1"/>
  <c r="I18" i="14" s="1"/>
  <c r="H11" i="14"/>
  <c r="I11" i="14" s="1" a="1"/>
  <c r="I11" i="14" s="1"/>
  <c r="H8" i="14"/>
  <c r="I8" i="14" s="1" a="1"/>
  <c r="I8" i="14" s="1"/>
  <c r="H7" i="14"/>
  <c r="I7" i="14" s="1" a="1"/>
  <c r="I7" i="14" s="1"/>
  <c r="H6" i="14"/>
  <c r="I6" i="14" s="1" a="1"/>
  <c r="I6" i="14" s="1"/>
  <c r="H9" i="14"/>
  <c r="I9" i="14" s="1" a="1"/>
  <c r="I9" i="14" s="1"/>
  <c r="H5" i="14"/>
  <c r="I5" i="14" s="1" a="1"/>
  <c r="I5" i="14" s="1"/>
  <c r="J5" i="14" l="1" a="1"/>
  <c r="J5" i="14" s="1"/>
  <c r="J13" i="14" a="1"/>
  <c r="J13" i="14" s="1"/>
  <c r="J6" i="14" a="1"/>
  <c r="J6" i="14" s="1"/>
  <c r="J7" i="14" a="1"/>
  <c r="J7" i="14" s="1"/>
  <c r="J8" i="14" a="1"/>
  <c r="J8" i="14" s="1"/>
  <c r="J11" i="14" a="1"/>
  <c r="J11" i="14" s="1"/>
  <c r="J15" i="14" a="1"/>
  <c r="J15" i="14" s="1"/>
  <c r="J19" i="14" a="1"/>
  <c r="J19" i="14" s="1"/>
  <c r="J12" i="14" a="1"/>
  <c r="J12" i="14" s="1"/>
  <c r="J16" i="14" a="1"/>
  <c r="J16" i="14" s="1"/>
  <c r="J10" i="14" a="1"/>
  <c r="J10" i="14" s="1"/>
  <c r="J9" i="14" a="1"/>
  <c r="J9" i="14" s="1"/>
  <c r="J17" i="14" a="1"/>
  <c r="J17" i="14" s="1"/>
  <c r="J18" i="14" a="1"/>
  <c r="J18" i="14" s="1"/>
  <c r="J14" i="14" a="1"/>
  <c r="J14" i="14" s="1"/>
  <c r="E8" i="14" a="1"/>
  <c r="E8" i="14" s="1"/>
  <c r="I4" i="14" l="1"/>
  <c r="J4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<sst xmlns="http://schemas.openxmlformats.org/spreadsheetml/2006/main" count="152" uniqueCount="104">
  <si>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</si>
  <si>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</si>
  <si>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</si>
  <si>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</si>
  <si>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</si>
  <si>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</si>
  <si>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</si>
  <si>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</si>
  <si>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</si>
  <si>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</si>
  <si>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</si>
  <si>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</si>
  <si>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</si>
  <si>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</si>
  <si>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</si>
  <si>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</si>
  <si>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</si>
  <si>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</si>
  <si>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</si>
  <si>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</si>
  <si>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</si>
  <si>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</si>
  <si>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</si>
  <si>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</si>
  <si>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</si>
  <si>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</si>
  <si>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</si>
  <si>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</si>
  <si>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</si>
  <si>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</si>
  <si>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</si>
  <si>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</si>
  <si>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</si>
  <si>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</si>
  <si>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</si>
  <si>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</si>
  <si>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</si>
  <si>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</si>
  <si>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</si>
  <si>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</si>
  <si>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</si>
  <si>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</si>
  <si>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</si>
  <si>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</si>
  <si>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</si>
  <si>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</si>
  <si>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</si>
  <si>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</si>
  <si>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</si>
  <si>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</si>
  <si>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</si>
  <si>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</si>
  <si>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</si>
  <si>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</si>
  <si>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</si>
  <si>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</si>
  <si>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</si>
  <si>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</si>
  <si>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</si>
  <si>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</si>
  <si>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</si>
  <si>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</si>
  <si>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</si>
  <si>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</si>
  <si>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</si>
  <si>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</si>
  <si>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</si>
  <si>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</si>
  <si>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</si>
  <si>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Possible grade</t>
  </si>
  <si>
    <t>Maximum grade</t>
  </si>
  <si>
    <t>Current grade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</si>
  <si>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</si>
  <si>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</si>
  <si>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</si>
  <si>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</si>
  <si>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</si>
  <si>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</si>
  <si>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</si>
  <si>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</si>
  <si>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</si>
  <si>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</si>
  <si>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</si>
  <si>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</si>
  <si>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</si>
  <si>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</si>
  <si>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</si>
  <si>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</si>
  <si>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</si>
  <si>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</si>
  <si>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PLANNED GRADE</t>
  </si>
  <si>
    <t>Days left</t>
  </si>
  <si>
    <t>Q5</t>
  </si>
  <si>
    <t>Maximum weight</t>
  </si>
  <si>
    <t>Possible weight</t>
  </si>
  <si>
    <t>1 ECTS</t>
  </si>
  <si>
    <t>Cum Laude (without Minor): best case scenario</t>
  </si>
  <si>
    <t>Cum Laude (without Minor): planned average</t>
  </si>
  <si>
    <t>Average: current</t>
  </si>
  <si>
    <t>Average: planned</t>
  </si>
  <si>
    <t>Average: best case scenario</t>
  </si>
  <si>
    <t>WI1402LR Calculus II</t>
  </si>
  <si>
    <t>Maximum planned grade</t>
  </si>
  <si>
    <t>Planned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</si>
</sst>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AE Year&quot;\ #"/>
    <numFmt numFmtId="166" formatCode="hh:mm;@"/>
    <numFmt numFmtId="167" formatCode="dd:hh:mm;@"/>
    <numFmt numFmtId="168" formatCode="&quot;Q&quot;#"/>
    <numFmt numFmtId="169" formatCode="#\ &quot;h&quot;"/>
    <numFmt numFmtId="173" formatCode="dd/mm/yyyy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Protection="1"/>
    <xf numFmtId="0" fontId="0" fillId="10" borderId="10" xfId="0" applyFill="1" applyBorder="1" applyProtection="1"/>
    <xf numFmtId="0" fontId="0" fillId="2" borderId="0" xfId="0" applyFill="1" applyProtection="1"/>
    <xf numFmtId="0" fontId="0" fillId="10" borderId="12" xfId="0" applyFill="1" applyBorder="1" applyAlignment="1" applyProtection="1">
      <alignment vertical="center"/>
    </xf>
    <xf numFmtId="0" fontId="0" fillId="10" borderId="0" xfId="0" applyFill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1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0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2" borderId="0" xfId="0" applyFont="1" applyFill="1" applyAlignment="1" applyProtection="1">
      <alignment horizontal="center"/>
    </xf>
    <xf numFmtId="0" fontId="0" fillId="12" borderId="0" xfId="0" applyFont="1" applyFill="1" applyAlignment="1" applyProtection="1">
      <alignment horizontal="center" vertical="center"/>
    </xf>
    <xf numFmtId="0" fontId="0" fillId="0" borderId="8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168" fontId="0" fillId="10" borderId="9" xfId="0" applyNumberFormat="1" applyFill="1" applyBorder="1" applyAlignment="1" applyProtection="1">
      <alignment vertical="center"/>
    </xf>
    <xf numFmtId="0" fontId="0" fillId="13" borderId="0" xfId="0" applyFont="1" applyFill="1" applyAlignment="1" applyProtection="1">
      <alignment horizontal="center" vertical="center"/>
    </xf>
    <xf numFmtId="0" fontId="0" fillId="0" borderId="5" xfId="0" applyFont="1" applyFill="1" applyBorder="1" applyProtection="1"/>
    <xf numFmtId="0" fontId="0" fillId="14" borderId="1" xfId="0" applyFont="1" applyFill="1" applyBorder="1" applyProtection="1"/>
    <xf numFmtId="2" fontId="0" fillId="14" borderId="2" xfId="0" applyNumberFormat="1" applyFont="1" applyFill="1" applyBorder="1" applyAlignment="1" applyProtection="1">
      <alignment horizontal="right"/>
    </xf>
    <xf numFmtId="169" fontId="0" fillId="0" borderId="0" xfId="0" applyNumberFormat="1" applyFont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169" fontId="7" fillId="0" borderId="2" xfId="0" applyNumberFormat="1" applyFont="1" applyBorder="1" applyAlignment="1" applyProtection="1">
      <alignment horizontal="center" vertical="center"/>
    </xf>
    <xf numFmtId="169" fontId="7" fillId="0" borderId="6" xfId="0" applyNumberFormat="1" applyFont="1" applyBorder="1" applyAlignment="1" applyProtection="1">
      <alignment horizontal="center" vertical="center"/>
    </xf>
    <xf numFmtId="173" fontId="0" fillId="0" borderId="11" xfId="0" applyNumberFormat="1" applyBorder="1" applyProtection="1"/>
    <xf numFmtId="173" fontId="0" fillId="0" borderId="13" xfId="0" applyNumberFormat="1" applyBorder="1" applyProtection="1"/>
  </cellXfs>
  <cellStyles count="1">
    <cellStyle name="Normal" xfId="0" builtinId="0"/>
  </cellStyles>
  <dxfs count="33">
    <dxf>
      <fill>
        <patternFill>
          <bgColor theme="1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9"/>
      </font>
      <numFmt numFmtId="170" formatCode="&quot;On track ~ &quot;\ #.##"/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F9E7"/>
      <color rgb="FFF67E7E"/>
      <color rgb="FFFFD5D5"/>
      <color rgb="FFFEE3AC"/>
      <color rgb="FFEFEADB"/>
      <color rgb="FFA80000"/>
      <color rgb="FF600000"/>
      <color rgb="FFA20000"/>
      <color rgb="FFA9D08E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tabSelected="1" zoomScale="85" zoomScaleNormal="85" workbookViewId="0">
      <selection activeCell="I4" sqref="I4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11" style="1" customWidth="1"/>
    <col min="6" max="6" width="4.375" style="1" customWidth="1"/>
    <col min="7" max="7" width="9" style="1"/>
    <col min="8" max="8" width="55.5" style="1" customWidth="1"/>
    <col min="9" max="9" width="9.875" style="1" customWidth="1"/>
    <col min="10" max="10" width="8.875" style="1" customWidth="1"/>
    <col min="11" max="16384" width="9" style="1"/>
  </cols>
  <sheetData>
    <row r="3" spans="3:11" ht="14.95" customHeight="1" thickBot="1" x14ac:dyDescent="0.3">
      <c r="I3" s="20" t="s">
        <v>88</v>
      </c>
      <c r="J3" s="21" t="s">
        <v>89</v>
      </c>
    </row>
    <row r="4" spans="3:11" ht="14.95" customHeight="1" x14ac:dyDescent="0.25">
      <c r="C4" s="69">
        <v>2</v>
      </c>
      <c r="D4" s="2" t="s">
        <v>84</v>
      </c>
      <c r="E4" s="92">
        <v>44584</v>
      </c>
      <c r="H4" s="22" t="s">
        <v>67</v>
      </c>
      <c r="I4" s="27">
        <f ca="1">SUM(I5:I104)</f>
        <v>1.5166666666666664</v>
      </c>
      <c r="J4" s="28">
        <f ca="1">SUM(J5:J104)</f>
        <v>1.2638888888888888</v>
      </c>
    </row>
    <row r="5" spans="3:11" ht="14.95" customHeight="1" x14ac:dyDescent="0.25">
      <c r="C5" s="4"/>
      <c r="D5" s="5" t="s">
        <v>85</v>
      </c>
      <c r="E5" s="93">
        <v>44593</v>
      </c>
      <c r="H5" s="67" t="str" cm="1">
        <f t="array" aca="1" ref="H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AE1108-I Aerospace Materials</v>
      </c>
      <c r="I5" s="24" cm="1">
        <f t="array" aca="1" ref="I5" ca="1">IF(
AND(NOT(ISBLANK(H5)),
NOT(ISERROR(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/24))),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/24,
"")</f>
        <v>0.34999999999999992</v>
      </c>
      <c r="J5" s="24" cm="1">
        <f t="array" aca="1" ref="J5" ca="1">IF(AND(
NOT(ISBLANK(H5)),
NOT(ISERROR(_xlfn._xlws.FILTER(_xlfn._xlws.FILTER(Courses!$B$2:$N$46, IF(NOT(ISERROR(SEARCH(H5, Courses!$B$2:$B$46, 1))), TRUE, FALSE)), {0,0,0,0,0,0,0,0,0,0,1,0,0})
/E$6
/24))),
_xlfn._xlws.FILTER(_xlfn._xlws.FILTER(Courses!$B$2:$N$46, IF(NOT(ISERROR(SEARCH(H5, Courses!$B$2:$B$46, 1))), TRUE, FALSE)), {0,0,0,0,0,0,0,0,0,0,1,0,0})
/E$6
/24,
"")</f>
        <v>0.29166666666666669</v>
      </c>
    </row>
    <row r="6" spans="3:11" x14ac:dyDescent="0.25">
      <c r="C6" s="4"/>
      <c r="D6" s="5" t="s">
        <v>86</v>
      </c>
      <c r="E6" s="6">
        <f>E5-E4</f>
        <v>9</v>
      </c>
      <c r="H6" s="68" t="str" cm="1">
        <f t="array" aca="1" ref="H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AE1130-II Dynamics</v>
      </c>
      <c r="I6" s="23" cm="1">
        <f t="array" aca="1" ref="I6" ca="1">IF(
AND(NOT(ISBLANK(H6)),
NOT(ISERROR(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/24))),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/24,
"")</f>
        <v>0.34999999999999992</v>
      </c>
      <c r="J6" s="23" cm="1">
        <f t="array" aca="1" ref="J6" ca="1">IF(AND(
NOT(ISBLANK(H6)),
NOT(ISERROR(_xlfn._xlws.FILTER(_xlfn._xlws.FILTER(Courses!$B$2:$N$46, IF(NOT(ISERROR(SEARCH(H6, Courses!$B$2:$B$46, 1))), TRUE, FALSE)), {0,0,0,0,0,0,0,0,0,0,1,0,0})
/E$6
/24))),
_xlfn._xlws.FILTER(_xlfn._xlws.FILTER(Courses!$B$2:$N$46, IF(NOT(ISERROR(SEARCH(H6, Courses!$B$2:$B$46, 1))), TRUE, FALSE)), {0,0,0,0,0,0,0,0,0,0,1,0,0})
/E$6
/24,
"")</f>
        <v>0.29166666666666669</v>
      </c>
    </row>
    <row r="7" spans="3:11" ht="14.95" thickBot="1" x14ac:dyDescent="0.3">
      <c r="C7" s="4"/>
      <c r="D7" s="31" t="s">
        <v>91</v>
      </c>
      <c r="E7" s="7">
        <f ca="1">E5-TODAY()</f>
        <v>211</v>
      </c>
      <c r="F7" s="8"/>
      <c r="H7" s="68" t="str" cm="1">
        <f t="array" aca="1" ref="H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WI1421LR Calculus I-B</v>
      </c>
      <c r="I7" s="23" cm="1">
        <f t="array" aca="1" ref="I7" ca="1">IF(
AND(NOT(ISBLANK(H7)),
NOT(ISERROR(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/24))),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/24,
"")</f>
        <v>0.34999999999999992</v>
      </c>
      <c r="J7" s="23" cm="1">
        <f t="array" aca="1" ref="J7" ca="1">IF(AND(
NOT(ISBLANK(H7)),
NOT(ISERROR(_xlfn._xlws.FILTER(_xlfn._xlws.FILTER(Courses!$B$2:$N$46, IF(NOT(ISERROR(SEARCH(H7, Courses!$B$2:$B$46, 1))), TRUE, FALSE)), {0,0,0,0,0,0,0,0,0,0,1,0,0})
/E$6
/24))),
_xlfn._xlws.FILTER(_xlfn._xlws.FILTER(Courses!$B$2:$N$46, IF(NOT(ISERROR(SEARCH(H7, Courses!$B$2:$B$46, 1))), TRUE, FALSE)), {0,0,0,0,0,0,0,0,0,0,1,0,0})
/E$6
/24,
"")</f>
        <v>0.29166666666666669</v>
      </c>
    </row>
    <row r="8" spans="3:11" ht="14.95" thickBot="1" x14ac:dyDescent="0.3">
      <c r="C8" s="9"/>
      <c r="D8" s="10" t="s">
        <v>87</v>
      </c>
      <c r="E8" s="11" cm="1">
        <f t="array" aca="1" ref="E8" ca="1">COUNTA(_xlfn._xlws.FILTER(H5:H19, (NOT(H5:H19 = "None"))))</f>
        <v>4</v>
      </c>
      <c r="H8" s="68" t="str" cm="1">
        <f t="array" aca="1" ref="H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AE1110-II Introduction to Aerospace Engineering II</v>
      </c>
      <c r="I8" s="23" cm="1">
        <f t="array" aca="1" ref="I8" ca="1">IF(
AND(NOT(ISBLANK(H8)),
NOT(ISERROR(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/24))),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/24,
"")</f>
        <v>0.46666666666666662</v>
      </c>
      <c r="J8" s="23" cm="1">
        <f t="array" aca="1" ref="J8" ca="1">IF(AND(
NOT(ISBLANK(H8)),
NOT(ISERROR(_xlfn._xlws.FILTER(_xlfn._xlws.FILTER(Courses!$B$2:$N$46, IF(NOT(ISERROR(SEARCH(H8, Courses!$B$2:$B$46, 1))), TRUE, FALSE)), {0,0,0,0,0,0,0,0,0,0,1,0,0})
/E$6
/24))),
_xlfn._xlws.FILTER(_xlfn._xlws.FILTER(Courses!$B$2:$N$46, IF(NOT(ISERROR(SEARCH(H8, Courses!$B$2:$B$46, 1))), TRUE, FALSE)), {0,0,0,0,0,0,0,0,0,0,1,0,0})
/E$6
/24,
"")</f>
        <v>0.3888888888888889</v>
      </c>
    </row>
    <row r="9" spans="3:11" x14ac:dyDescent="0.25">
      <c r="H9" s="68" t="str" cm="1">
        <f t="array" aca="1" ref="H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9" s="23" t="str" cm="1">
        <f t="array" aca="1" ref="I9" ca="1">IF(
AND(NOT(ISBLANK(H9)),
NOT(ISERROR(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/24))),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/24,
"")</f>
        <v/>
      </c>
      <c r="J9" s="23" t="str" cm="1">
        <f t="array" aca="1" ref="J9" ca="1">IF(AND(
NOT(ISBLANK(H9)),
NOT(ISERROR(_xlfn._xlws.FILTER(_xlfn._xlws.FILTER(Courses!$B$2:$N$46, IF(NOT(ISERROR(SEARCH(H9, Courses!$B$2:$B$46, 1))), TRUE, FALSE)), {0,0,0,0,0,0,0,0,0,0,1,0,0})
/E$6
/24))),
_xlfn._xlws.FILTER(_xlfn._xlws.FILTER(Courses!$B$2:$N$46, IF(NOT(ISERROR(SEARCH(H9, Courses!$B$2:$B$46, 1))), TRUE, FALSE)), {0,0,0,0,0,0,0,0,0,0,1,0,0})
/E$6
/24,
"")</f>
        <v/>
      </c>
      <c r="K9" s="12"/>
    </row>
    <row r="10" spans="3:11" x14ac:dyDescent="0.25">
      <c r="E10" s="12"/>
      <c r="H10" s="68" t="str" cm="1">
        <f t="array" aca="1" ref="H10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0" s="23" t="str" cm="1">
        <f t="array" aca="1" ref="I10" ca="1">IF(
AND(NOT(ISBLANK(H10)),
NOT(ISERROR(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/24))),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/24,
"")</f>
        <v/>
      </c>
      <c r="J10" s="23" t="str" cm="1">
        <f t="array" aca="1" ref="J10" ca="1">IF(AND(
NOT(ISBLANK(H10)),
NOT(ISERROR(_xlfn._xlws.FILTER(_xlfn._xlws.FILTER(Courses!$B$2:$N$46, IF(NOT(ISERROR(SEARCH(H10, Courses!$B$2:$B$46, 1))), TRUE, FALSE)), {0,0,0,0,0,0,0,0,0,0,1,0,0})
/E$6
/24))),
_xlfn._xlws.FILTER(_xlfn._xlws.FILTER(Courses!$B$2:$N$46, IF(NOT(ISERROR(SEARCH(H10, Courses!$B$2:$B$46, 1))), TRUE, FALSE)), {0,0,0,0,0,0,0,0,0,0,1,0,0})
/E$6
/24,
"")</f>
        <v/>
      </c>
    </row>
    <row r="11" spans="3:11" x14ac:dyDescent="0.25">
      <c r="H11" s="68" t="str" cm="1">
        <f t="array" aca="1" ref="H11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1" s="23" t="str" cm="1">
        <f t="array" aca="1" ref="I11" ca="1">IF(
AND(NOT(ISBLANK(H11)),
NOT(ISERROR(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/24))),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/24,
"")</f>
        <v/>
      </c>
      <c r="J11" s="23" t="str" cm="1">
        <f t="array" aca="1" ref="J11" ca="1">IF(AND(
NOT(ISBLANK(H11)),
NOT(ISERROR(_xlfn._xlws.FILTER(_xlfn._xlws.FILTER(Courses!$B$2:$N$46, IF(NOT(ISERROR(SEARCH(H11, Courses!$B$2:$B$46, 1))), TRUE, FALSE)), {0,0,0,0,0,0,0,0,0,0,1,0,0})
/E$6
/24))),
_xlfn._xlws.FILTER(_xlfn._xlws.FILTER(Courses!$B$2:$N$46, IF(NOT(ISERROR(SEARCH(H11, Courses!$B$2:$B$46, 1))), TRUE, FALSE)), {0,0,0,0,0,0,0,0,0,0,1,0,0})
/E$6
/24,
"")</f>
        <v/>
      </c>
    </row>
    <row r="12" spans="3:11" x14ac:dyDescent="0.25">
      <c r="H12" s="68" t="str" cm="1">
        <f t="array" aca="1" ref="H12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2" s="23" t="str" cm="1">
        <f t="array" aca="1" ref="I12" ca="1">IF(
AND(NOT(ISBLANK(H12)),
NOT(ISERROR(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/24))),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/24,
"")</f>
        <v/>
      </c>
      <c r="J12" s="23" t="str" cm="1">
        <f t="array" aca="1" ref="J12" ca="1">IF(AND(
NOT(ISBLANK(H12)),
NOT(ISERROR(_xlfn._xlws.FILTER(_xlfn._xlws.FILTER(Courses!$B$2:$N$46, IF(NOT(ISERROR(SEARCH(H12, Courses!$B$2:$B$46, 1))), TRUE, FALSE)), {0,0,0,0,0,0,0,0,0,0,1,0,0})
/E$6
/24))),
_xlfn._xlws.FILTER(_xlfn._xlws.FILTER(Courses!$B$2:$N$46, IF(NOT(ISERROR(SEARCH(H12, Courses!$B$2:$B$46, 1))), TRUE, FALSE)), {0,0,0,0,0,0,0,0,0,0,1,0,0})
/E$6
/24,
"")</f>
        <v/>
      </c>
    </row>
    <row r="13" spans="3:11" x14ac:dyDescent="0.25">
      <c r="H13" s="68" t="str" cm="1">
        <f t="array" aca="1" ref="H13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3" s="23" t="str" cm="1">
        <f t="array" aca="1" ref="I13" ca="1">IF(
AND(NOT(ISBLANK(H13)),
NOT(ISERROR(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/24))),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/24,
"")</f>
        <v/>
      </c>
      <c r="J13" s="23" t="str" cm="1">
        <f t="array" aca="1" ref="J13" ca="1">IF(AND(
NOT(ISBLANK(H13)),
NOT(ISERROR(_xlfn._xlws.FILTER(_xlfn._xlws.FILTER(Courses!$B$2:$N$46, IF(NOT(ISERROR(SEARCH(H13, Courses!$B$2:$B$46, 1))), TRUE, FALSE)), {0,0,0,0,0,0,0,0,0,0,1,0,0})
/E$6
/24))),
_xlfn._xlws.FILTER(_xlfn._xlws.FILTER(Courses!$B$2:$N$46, IF(NOT(ISERROR(SEARCH(H13, Courses!$B$2:$B$46, 1))), TRUE, FALSE)), {0,0,0,0,0,0,0,0,0,0,1,0,0})
/E$6
/24,
"")</f>
        <v/>
      </c>
    </row>
    <row r="14" spans="3:11" x14ac:dyDescent="0.25">
      <c r="H14" s="68" t="str" cm="1">
        <f t="array" aca="1" ref="H14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4" s="23" t="str" cm="1">
        <f t="array" aca="1" ref="I14" ca="1">IF(
AND(NOT(ISBLANK(H14)),
NOT(ISERROR(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/24))),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/24,
"")</f>
        <v/>
      </c>
      <c r="J14" s="23" t="str" cm="1">
        <f t="array" aca="1" ref="J14" ca="1">IF(AND(
NOT(ISBLANK(H14)),
NOT(ISERROR(_xlfn._xlws.FILTER(_xlfn._xlws.FILTER(Courses!$B$2:$N$46, IF(NOT(ISERROR(SEARCH(H14, Courses!$B$2:$B$46, 1))), TRUE, FALSE)), {0,0,0,0,0,0,0,0,0,0,1,0,0})
/E$6
/24))),
_xlfn._xlws.FILTER(_xlfn._xlws.FILTER(Courses!$B$2:$N$46, IF(NOT(ISERROR(SEARCH(H14, Courses!$B$2:$B$46, 1))), TRUE, FALSE)), {0,0,0,0,0,0,0,0,0,0,1,0,0})
/E$6
/24,
"")</f>
        <v/>
      </c>
    </row>
    <row r="15" spans="3:11" x14ac:dyDescent="0.25">
      <c r="H15" s="68" t="str" cm="1">
        <f t="array" aca="1" ref="H1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5" s="23" t="str" cm="1">
        <f t="array" aca="1" ref="I15" ca="1">IF(
AND(NOT(ISBLANK(H15)),
NOT(ISERROR(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/24))),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/24,
"")</f>
        <v/>
      </c>
      <c r="J15" s="23" t="str" cm="1">
        <f t="array" aca="1" ref="J15" ca="1">IF(AND(
NOT(ISBLANK(H15)),
NOT(ISERROR(_xlfn._xlws.FILTER(_xlfn._xlws.FILTER(Courses!$B$2:$N$46, IF(NOT(ISERROR(SEARCH(H15, Courses!$B$2:$B$46, 1))), TRUE, FALSE)), {0,0,0,0,0,0,0,0,0,0,1,0,0})
/E$6
/24))),
_xlfn._xlws.FILTER(_xlfn._xlws.FILTER(Courses!$B$2:$N$46, IF(NOT(ISERROR(SEARCH(H15, Courses!$B$2:$B$46, 1))), TRUE, FALSE)), {0,0,0,0,0,0,0,0,0,0,1,0,0})
/E$6
/24,
"")</f>
        <v/>
      </c>
    </row>
    <row r="16" spans="3:11" x14ac:dyDescent="0.25">
      <c r="H16" s="68" t="str" cm="1">
        <f t="array" aca="1" ref="H1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6" s="23" t="str" cm="1">
        <f t="array" aca="1" ref="I16" ca="1">IF(
AND(NOT(ISBLANK(H16)),
NOT(ISERROR(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/24))),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/24,
"")</f>
        <v/>
      </c>
      <c r="J16" s="23" t="str" cm="1">
        <f t="array" aca="1" ref="J16" ca="1">IF(AND(
NOT(ISBLANK(H16)),
NOT(ISERROR(_xlfn._xlws.FILTER(_xlfn._xlws.FILTER(Courses!$B$2:$N$46, IF(NOT(ISERROR(SEARCH(H16, Courses!$B$2:$B$46, 1))), TRUE, FALSE)), {0,0,0,0,0,0,0,0,0,0,1,0,0})
/E$6
/24))),
_xlfn._xlws.FILTER(_xlfn._xlws.FILTER(Courses!$B$2:$N$46, IF(NOT(ISERROR(SEARCH(H16, Courses!$B$2:$B$46, 1))), TRUE, FALSE)), {0,0,0,0,0,0,0,0,0,0,1,0,0})
/E$6
/24,
"")</f>
        <v/>
      </c>
    </row>
    <row r="17" spans="8:10" x14ac:dyDescent="0.25">
      <c r="H17" s="68" t="str" cm="1">
        <f t="array" aca="1" ref="H1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7" s="23" t="str" cm="1">
        <f t="array" aca="1" ref="I17" ca="1">IF(
AND(NOT(ISBLANK(H17)),
NOT(ISERROR(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/24))),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/24,
"")</f>
        <v/>
      </c>
      <c r="J17" s="23" t="str" cm="1">
        <f t="array" aca="1" ref="J17" ca="1">IF(AND(
NOT(ISBLANK(H17)),
NOT(ISERROR(_xlfn._xlws.FILTER(_xlfn._xlws.FILTER(Courses!$B$2:$N$46, IF(NOT(ISERROR(SEARCH(H17, Courses!$B$2:$B$46, 1))), TRUE, FALSE)), {0,0,0,0,0,0,0,0,0,0,1,0,0})
/E$6
/24))),
_xlfn._xlws.FILTER(_xlfn._xlws.FILTER(Courses!$B$2:$N$46, IF(NOT(ISERROR(SEARCH(H17, Courses!$B$2:$B$46, 1))), TRUE, FALSE)), {0,0,0,0,0,0,0,0,0,0,1,0,0})
/E$6
/24,
"")</f>
        <v/>
      </c>
    </row>
    <row r="18" spans="8:10" x14ac:dyDescent="0.25">
      <c r="H18" s="68" t="str" cm="1">
        <f t="array" aca="1" ref="H1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8" s="23" t="str" cm="1">
        <f t="array" aca="1" ref="I18" ca="1">IF(
AND(NOT(ISBLANK(H18)),
NOT(ISERROR(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/24))),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/24,
"")</f>
        <v/>
      </c>
      <c r="J18" s="23" t="str" cm="1">
        <f t="array" aca="1" ref="J18" ca="1">IF(AND(
NOT(ISBLANK(H18)),
NOT(ISERROR(_xlfn._xlws.FILTER(_xlfn._xlws.FILTER(Courses!$B$2:$N$46, IF(NOT(ISERROR(SEARCH(H18, Courses!$B$2:$B$46, 1))), TRUE, FALSE)), {0,0,0,0,0,0,0,0,0,0,1,0,0})
/E$6
/24))),
_xlfn._xlws.FILTER(_xlfn._xlws.FILTER(Courses!$B$2:$N$46, IF(NOT(ISERROR(SEARCH(H18, Courses!$B$2:$B$46, 1))), TRUE, FALSE)), {0,0,0,0,0,0,0,0,0,0,1,0,0})
/E$6
/24,
"")</f>
        <v/>
      </c>
    </row>
    <row r="19" spans="8:10" x14ac:dyDescent="0.25">
      <c r="H19" s="68" t="str" cm="1">
        <f t="array" aca="1" ref="H1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9" s="23" t="str" cm="1">
        <f t="array" aca="1" ref="I19" ca="1">IF(
AND(NOT(ISBLANK(H19)),
NOT(ISERROR(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/24))),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/24,
"")</f>
        <v/>
      </c>
      <c r="J19" s="23" t="str" cm="1">
        <f t="array" aca="1" ref="J19" ca="1">IF(AND(
NOT(ISBLANK(H19)),
NOT(ISERROR(_xlfn._xlws.FILTER(_xlfn._xlws.FILTER(Courses!$B$2:$N$46, IF(NOT(ISERROR(SEARCH(H19, Courses!$B$2:$B$46, 1))), TRUE, FALSE)), {0,0,0,0,0,0,0,0,0,0,1,0,0})
/E$6
/24))),
_xlfn._xlws.FILTER(_xlfn._xlws.FILTER(Courses!$B$2:$N$46, IF(NOT(ISERROR(SEARCH(H19, Courses!$B$2:$B$46, 1))), TRUE, FALSE)), {0,0,0,0,0,0,0,0,0,0,1,0,0})
/E$6
/24,
"")</f>
        <v/>
      </c>
    </row>
    <row r="20" spans="8:10" x14ac:dyDescent="0.25">
      <c r="H20" s="13"/>
      <c r="I20" s="23"/>
      <c r="J20" s="23"/>
    </row>
    <row r="21" spans="8:10" x14ac:dyDescent="0.25">
      <c r="H21" s="13"/>
      <c r="I21" s="23"/>
      <c r="J21" s="23"/>
    </row>
    <row r="22" spans="8:10" x14ac:dyDescent="0.25">
      <c r="H22" s="13"/>
      <c r="I22" s="23"/>
      <c r="J22" s="23"/>
    </row>
    <row r="23" spans="8:10" x14ac:dyDescent="0.25">
      <c r="H23" s="13"/>
      <c r="I23" s="23"/>
      <c r="J23" s="23"/>
    </row>
    <row r="24" spans="8:10" x14ac:dyDescent="0.25">
      <c r="H24" s="13"/>
      <c r="I24" s="23"/>
      <c r="J24" s="23"/>
    </row>
    <row r="25" spans="8:10" x14ac:dyDescent="0.25">
      <c r="H25" s="13"/>
      <c r="I25" s="23"/>
      <c r="J25" s="23"/>
    </row>
    <row r="26" spans="8:10" x14ac:dyDescent="0.25">
      <c r="H26" s="13"/>
      <c r="I26" s="23"/>
      <c r="J26" s="23"/>
    </row>
    <row r="27" spans="8:10" x14ac:dyDescent="0.25">
      <c r="H27" s="13"/>
      <c r="I27" s="23"/>
      <c r="J27" s="23"/>
    </row>
    <row r="28" spans="8:10" x14ac:dyDescent="0.25">
      <c r="H28" s="13"/>
      <c r="I28" s="23"/>
      <c r="J28" s="23"/>
    </row>
    <row r="29" spans="8:10" x14ac:dyDescent="0.25">
      <c r="H29" s="13"/>
      <c r="I29" s="23"/>
      <c r="J29" s="23"/>
    </row>
    <row r="30" spans="8:10" x14ac:dyDescent="0.25">
      <c r="H30" s="13"/>
      <c r="I30" s="23"/>
      <c r="J30" s="23"/>
    </row>
    <row r="31" spans="8:10" x14ac:dyDescent="0.25">
      <c r="H31" s="13"/>
      <c r="I31" s="23"/>
      <c r="J31" s="23"/>
    </row>
    <row r="32" spans="8:10" x14ac:dyDescent="0.25">
      <c r="H32" s="13"/>
      <c r="I32" s="23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32" priority="19">
      <formula>$C$4=1</formula>
    </cfRule>
  </conditionalFormatting>
  <conditionalFormatting sqref="C8 C4:D7">
    <cfRule type="expression" dxfId="31" priority="1">
      <formula>$C$4=5</formula>
    </cfRule>
    <cfRule type="expression" dxfId="30" priority="16">
      <formula>$C$4=4</formula>
    </cfRule>
  </conditionalFormatting>
  <conditionalFormatting sqref="C8 C4:D7">
    <cfRule type="expression" dxfId="29" priority="17">
      <formula>$C$4=3</formula>
    </cfRule>
  </conditionalFormatting>
  <conditionalFormatting sqref="C8 C4:D7">
    <cfRule type="expression" dxfId="28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55"/>
  <sheetViews>
    <sheetView zoomScale="85" zoomScaleNormal="85" workbookViewId="0">
      <selection activeCell="G8" sqref="G8"/>
    </sheetView>
  </sheetViews>
  <sheetFormatPr defaultRowHeight="14.3" x14ac:dyDescent="0.25"/>
  <cols>
    <col min="1" max="1" width="3" style="39" customWidth="1"/>
    <col min="2" max="2" width="63.75" style="39" customWidth="1"/>
    <col min="3" max="3" width="14.75" style="40" customWidth="1"/>
    <col min="4" max="4" width="10.125" style="40" customWidth="1"/>
    <col min="5" max="6" width="18.125" style="40" customWidth="1"/>
    <col min="7" max="7" width="17.625" style="39" customWidth="1"/>
    <col min="8" max="8" width="11.75" style="41" customWidth="1"/>
    <col min="9" max="9" width="8" style="39" customWidth="1"/>
    <col min="10" max="10" width="63.75" style="39" customWidth="1"/>
    <col min="11" max="11" width="14.75" style="40" customWidth="1"/>
    <col min="12" max="12" width="7.875" style="40" customWidth="1"/>
    <col min="13" max="14" width="18.125" style="40" customWidth="1"/>
    <col min="15" max="15" width="22" style="40" customWidth="1"/>
    <col min="16" max="16" width="11.75" style="41" customWidth="1"/>
    <col min="17" max="18" width="8.875" style="39" customWidth="1"/>
    <col min="19" max="16384" width="9" style="39"/>
  </cols>
  <sheetData>
    <row r="1" spans="2:16" x14ac:dyDescent="0.25">
      <c r="E1" s="39"/>
      <c r="F1" s="39"/>
    </row>
    <row r="2" spans="2:16" ht="14.3" customHeight="1" x14ac:dyDescent="0.25">
      <c r="B2" s="42" t="s">
        <v>78</v>
      </c>
      <c r="C2" s="43" cm="1">
        <f t="array" ref="C2">_xlfn.LET(
_xlpm.mod_all,_xlfn._xlws.FILTER(Modules!C2:F28,(NOT(Modules!C2:C28="V"))),
_xlpm.mod_all_ECTS,_xlfn._xlws.FILTER(_xlpm.mod_all,{0,1,0,0}),
_xlpm.mod_passed,_xlfn._xlws.FILTER(_xlpm.mod_all, (_xlfn._xlws.FILTER(_xlpm.mod_all, {0,0,0,1}))),
_xlpm.mod_passed_grades,_xlfn._xlws.FILTER(_xlpm.mod_passed,{1,0,0,0}),
_xlpm.mod_passed_ECTS,_xlfn._xlws.FILTER(_xlpm.mod_passed,{0,1,0,0}),
IF(ISERROR(SUM(_xlpm.mod_passed_grades)),
0,
SUMPRODUCT(
_xlpm.mod_passed_grades,
_xlpm.mod_passed_ECTS
)/SUM(_xlpm.mod_all_ECTS)
)
)</f>
        <v>0</v>
      </c>
      <c r="E2" s="80" t="s">
        <v>82</v>
      </c>
      <c r="F2" s="81"/>
      <c r="G2" s="77">
        <v>1</v>
      </c>
    </row>
    <row r="3" spans="2:16" ht="14.3" customHeight="1" x14ac:dyDescent="0.25">
      <c r="B3" s="44" t="s">
        <v>98</v>
      </c>
      <c r="C3" s="45" cm="1">
        <f t="array" ref="C3">_xlfn.LET(
_xlpm.mod_passed, _xlfn._xlws.FILTER(Modules!C2:D28, (Modules!F2:F28)*(NOT(Modules!C2:C28 = "V"))),
_xlpm.mod_grades, _xlfn._xlws.FILTER(_xlpm.mod_passed, {1,0}),
_xlpm.mod_ECTS, _xlfn._xlws.FILTER(_xlpm.mod_passed, {0,1}),
IF(ISERROR(SUM(_xlpm.mod_grades)),
0,
SUMPRODUCT(
_xlpm.mod_grades,
_xlpm.mod_ECTS
)/SUM(_xlpm.mod_ECTS)
)
)</f>
        <v>0</v>
      </c>
      <c r="E3" s="82"/>
      <c r="F3" s="83"/>
      <c r="G3" s="78"/>
    </row>
    <row r="4" spans="2:16" ht="14.3" customHeight="1" x14ac:dyDescent="0.25">
      <c r="B4" s="46" t="s">
        <v>99</v>
      </c>
      <c r="C4" s="47" cm="1">
        <f t="array" ref="C4">_xlfn.LET(
_xlpm.grade_cumulative, $C$2,
_xlpm.grade_planned, SUM(_xlfn._xlws.FILTER(Modules!J2:J28,(NOT(Modules!F2:F28))*(NOT(Modules!C2:C28="V")))),
IF(ISERROR(_xlpm.grade_planned), _xlpm.grade_cumulative, _xlpm.grade_cumulative+_xlpm.grade_planned)
)</f>
        <v>7.5</v>
      </c>
      <c r="E4" s="82"/>
      <c r="F4" s="83"/>
      <c r="G4" s="78"/>
    </row>
    <row r="5" spans="2:16" ht="14.3" customHeight="1" x14ac:dyDescent="0.25">
      <c r="B5" s="44" t="s">
        <v>100</v>
      </c>
      <c r="C5" s="45" cm="1">
        <f t="array" ref="C5">_xlfn.LET(
_xlpm.grade_cumulative, $C$2,
_xlpm.grade_planned, SUM(_xlfn._xlws.FILTER(Modules!H2:H28,(NOT(Modules!F2:F28))*(NOT(Modules!C3:C29="V")))),
IF(ISERROR(_xlpm.grade_planned), _xlpm.grade_cumulative, _xlpm.grade_cumulative+_xlpm.grade_planned)
)</f>
        <v>9</v>
      </c>
      <c r="E5" s="84"/>
      <c r="F5" s="85"/>
      <c r="G5" s="79"/>
    </row>
    <row r="6" spans="2:16" ht="14.3" customHeight="1" x14ac:dyDescent="0.25">
      <c r="B6" s="72" t="s">
        <v>97</v>
      </c>
      <c r="C6" s="73" cm="1">
        <f t="array" ref="C6">_xlfn.LET(
_xlpm.mod_wo_Minor,_xlfn._xlws.FILTER(Modules!C2:J28,(NOT(Modules!E2:E28="Minor"))),
_xlpm.mod_passed,_xlfn._xlws.FILTER(_xlpm.mod_wo_Minor,(_xlfn._xlws.FILTER(_xlpm.mod_wo_Minor,{0,0,0,1,0,0,0,0}))),
_xlpm.mod_pln,_xlfn._xlws.FILTER(_xlpm.mod_wo_Minor,(NOT(_xlfn._xlws.FILTER(_xlpm.mod_wo_Minor,{0,0,0,1,0,0,0,0})))),
_xlpm.mod_grades,_xlfn._xlws.FILTER(_xlpm.mod_passed,{1,0,0,0,0,0,0,0}),
_xlpm.mod_ECTS,_xlfn._xlws.FILTER(_xlpm.mod_passed,{0,1,0,0,0,0,0,0}),
_xlpm.mod_passed_contr, SUMPRODUCT(_xlpm.mod_grades, _xlpm.mod_ECTS)/SUM(150),
_xlpm.mod_pln_contr, SUM(_xlfn._xlws.FILTER(_xlpm.mod_pln,{0,0,0,0,0,0,0,1}))*180/150,
IF(ISERROR(_xlpm.mod_passed_contr), 0, _xlpm.mod_passed_contr)
+
IF(ISERROR(_xlpm.mod_pln_contr), 0, _xlpm.mod_pln_contr)
)</f>
        <v>7.5</v>
      </c>
      <c r="E6" s="86" t="s">
        <v>95</v>
      </c>
      <c r="F6" s="87"/>
      <c r="G6" s="90">
        <v>28</v>
      </c>
      <c r="I6" s="74"/>
    </row>
    <row r="7" spans="2:16" ht="14.3" customHeight="1" x14ac:dyDescent="0.25">
      <c r="B7" s="71" t="s">
        <v>96</v>
      </c>
      <c r="C7" s="48" cm="1">
        <f t="array" ref="C7">_xlfn.LET(
_xlpm.mod_wo_Minor,_xlfn._xlws.FILTER(Modules!C2:J28,(NOT(Modules!E2:E28="Minor"))),
_xlpm.mod_passed,_xlfn._xlws.FILTER(_xlpm.mod_wo_Minor,(_xlfn._xlws.FILTER(_xlpm.mod_wo_Minor,{0,0,0,1,0,0,0,0}))),
_xlpm.mod_pln,_xlfn._xlws.FILTER(_xlpm.mod_wo_Minor,(NOT(_xlfn._xlws.FILTER(_xlpm.mod_wo_Minor,{0,0,0,1,0,0,0,0})))),
_xlpm.mod_grades,_xlfn._xlws.FILTER(_xlpm.mod_passed,{1,0,0,0,0,0,0,0}),
_xlpm.mod_ECTS,_xlfn._xlws.FILTER(_xlpm.mod_passed,{0,1,0,0,0,0,0,0}),
_xlpm.mod_passed_contr, SUMPRODUCT(_xlpm.mod_grades, _xlpm.mod_ECTS)/SUM(150),
_xlpm.mod_pln_contr, SUM(_xlfn._xlws.FILTER(_xlpm.mod_pln,{0,0,0,0,0,1,0,0}))*180/150,
IF(ISERROR(_xlpm.mod_passed_contr), 0, _xlpm.mod_passed_contr)
+
IF(ISERROR(_xlpm.mod_pln_contr), 0, _xlpm.mod_pln_contr)
)</f>
        <v>9.0000000000000018</v>
      </c>
      <c r="E7" s="88"/>
      <c r="F7" s="89"/>
      <c r="G7" s="91"/>
    </row>
    <row r="8" spans="2:16" ht="14.3" customHeight="1" x14ac:dyDescent="0.25">
      <c r="B8" s="49"/>
      <c r="C8" s="50"/>
      <c r="E8" s="30"/>
      <c r="F8" s="30"/>
      <c r="G8" s="29"/>
    </row>
    <row r="9" spans="2:16" ht="14.3" customHeight="1" x14ac:dyDescent="0.25"/>
    <row r="10" spans="2:16" x14ac:dyDescent="0.25">
      <c r="B10" s="75" t="s">
        <v>74</v>
      </c>
      <c r="C10" s="75"/>
      <c r="D10" s="75"/>
      <c r="E10" s="76"/>
      <c r="F10" s="76"/>
      <c r="G10" s="75"/>
      <c r="H10" s="75"/>
      <c r="I10" s="75"/>
      <c r="J10" s="75"/>
      <c r="K10" s="75"/>
      <c r="L10" s="75"/>
      <c r="M10" s="75"/>
      <c r="N10" s="75"/>
      <c r="O10" s="75"/>
      <c r="P10" s="75"/>
    </row>
    <row r="12" spans="2:16" x14ac:dyDescent="0.25">
      <c r="B12" s="51" t="s">
        <v>75</v>
      </c>
      <c r="C12" s="52" t="s">
        <v>71</v>
      </c>
      <c r="D12" s="52" t="s">
        <v>25</v>
      </c>
      <c r="E12" s="53" t="s">
        <v>83</v>
      </c>
      <c r="F12" s="52" t="s">
        <v>90</v>
      </c>
      <c r="G12" s="52" t="s">
        <v>81</v>
      </c>
      <c r="H12" s="52" t="s">
        <v>61</v>
      </c>
      <c r="I12" s="41"/>
      <c r="J12" s="59" t="s">
        <v>76</v>
      </c>
      <c r="K12" s="60" t="s">
        <v>71</v>
      </c>
      <c r="L12" s="60" t="s">
        <v>25</v>
      </c>
      <c r="M12" s="60" t="s">
        <v>83</v>
      </c>
      <c r="N12" s="60" t="s">
        <v>90</v>
      </c>
      <c r="O12" s="60" t="s">
        <v>81</v>
      </c>
      <c r="P12" s="60" t="s">
        <v>61</v>
      </c>
    </row>
    <row r="13" spans="2:16" x14ac:dyDescent="0.25">
      <c r="B13" s="39" t="str" cm="1">
        <f t="array" ref="B13:H17">IF(NOT(ISERROR(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
)),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*(IF(ISTEXT(Courses!M2:M46),G2=3,Courses!M2:M46&lt;=G2))),{1,0,1,1,0,0,0,1,0,1,1,1}),
"None")</f>
        <v>AE1111-II Engineering Drawing</v>
      </c>
      <c r="C13" s="40">
        <v>0</v>
      </c>
      <c r="D13" s="40">
        <v>2</v>
      </c>
      <c r="E13" s="40">
        <v>9</v>
      </c>
      <c r="F13" s="40">
        <v>7.5</v>
      </c>
      <c r="G13" s="58">
        <v>42</v>
      </c>
      <c r="H13" s="57">
        <v>1</v>
      </c>
      <c r="J13" s="39" t="str" cm="1">
        <f t="array" ref="J13:P16">IF(NOT(ISERROR(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
)),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*(IF(ISTEXT(Courses!M2:M46),G2=3,Courses!M2:M46&lt;=G2))),{1,0,1,1,0,0,0,1,0,1,1,1}),
"None")</f>
        <v>AE1108-I Aerospace Materials</v>
      </c>
      <c r="K13" s="40">
        <v>0</v>
      </c>
      <c r="L13" s="40">
        <v>3</v>
      </c>
      <c r="M13" s="40">
        <v>9</v>
      </c>
      <c r="N13" s="40">
        <v>7.5</v>
      </c>
      <c r="O13" s="58">
        <v>63</v>
      </c>
      <c r="P13" s="57">
        <v>1</v>
      </c>
    </row>
    <row r="14" spans="2:16" x14ac:dyDescent="0.25">
      <c r="B14" s="39" t="str">
        <v>AE1111-I Exploring Aerospace Engineering</v>
      </c>
      <c r="C14" s="40">
        <v>0</v>
      </c>
      <c r="D14" s="40">
        <v>3</v>
      </c>
      <c r="E14" s="40">
        <v>9</v>
      </c>
      <c r="F14" s="58">
        <v>7.5</v>
      </c>
      <c r="G14" s="40">
        <v>63</v>
      </c>
      <c r="H14" s="57">
        <v>1</v>
      </c>
      <c r="J14" s="39" t="str">
        <v>AE1130-II Dynamics</v>
      </c>
      <c r="K14" s="40">
        <v>0</v>
      </c>
      <c r="L14" s="40">
        <v>3</v>
      </c>
      <c r="M14" s="40">
        <v>9</v>
      </c>
      <c r="N14" s="40">
        <v>7.5</v>
      </c>
      <c r="O14" s="58">
        <v>63</v>
      </c>
      <c r="P14" s="57">
        <v>1</v>
      </c>
    </row>
    <row r="15" spans="2:16" x14ac:dyDescent="0.25">
      <c r="B15" s="39" t="str">
        <v>WI1421LR Calculus I-A</v>
      </c>
      <c r="C15" s="40">
        <v>0</v>
      </c>
      <c r="D15" s="40">
        <v>3</v>
      </c>
      <c r="E15" s="40">
        <v>9</v>
      </c>
      <c r="F15" s="58">
        <v>7.5</v>
      </c>
      <c r="G15" s="40">
        <v>63</v>
      </c>
      <c r="H15" s="57">
        <v>1</v>
      </c>
      <c r="J15" s="39" t="str">
        <v>WI1421LR Calculus I-B</v>
      </c>
      <c r="K15" s="40">
        <v>0</v>
      </c>
      <c r="L15" s="40">
        <v>3</v>
      </c>
      <c r="M15" s="40">
        <v>9</v>
      </c>
      <c r="N15" s="40">
        <v>7.5</v>
      </c>
      <c r="O15" s="58">
        <v>63</v>
      </c>
      <c r="P15" s="57">
        <v>1</v>
      </c>
    </row>
    <row r="16" spans="2:16" x14ac:dyDescent="0.25">
      <c r="B16" s="39" t="str">
        <v>AE1130-I Statics</v>
      </c>
      <c r="C16" s="40">
        <v>0</v>
      </c>
      <c r="D16" s="40">
        <v>4</v>
      </c>
      <c r="E16" s="40">
        <v>9</v>
      </c>
      <c r="F16" s="58">
        <v>7.5</v>
      </c>
      <c r="G16" s="40">
        <v>84</v>
      </c>
      <c r="H16" s="57">
        <v>1</v>
      </c>
      <c r="J16" s="39" t="str">
        <v>AE1110-II Introduction to Aerospace Engineering II</v>
      </c>
      <c r="K16" s="40">
        <v>0</v>
      </c>
      <c r="L16" s="40">
        <v>4</v>
      </c>
      <c r="M16" s="40">
        <v>9</v>
      </c>
      <c r="N16" s="40">
        <v>7.5</v>
      </c>
      <c r="O16" s="58">
        <v>84</v>
      </c>
      <c r="P16" s="57">
        <v>1</v>
      </c>
    </row>
    <row r="17" spans="2:16" x14ac:dyDescent="0.25">
      <c r="B17" s="16" t="str">
        <v>AE1110-I Introduction to Aerospace Engineering I</v>
      </c>
      <c r="C17" s="40">
        <v>0</v>
      </c>
      <c r="D17" s="40">
        <v>5</v>
      </c>
      <c r="E17" s="40">
        <v>9</v>
      </c>
      <c r="F17" s="40">
        <v>7.5</v>
      </c>
      <c r="G17" s="58">
        <v>105</v>
      </c>
      <c r="H17" s="57">
        <v>1</v>
      </c>
      <c r="J17" s="16"/>
      <c r="O17" s="58"/>
      <c r="P17" s="57"/>
    </row>
    <row r="18" spans="2:16" x14ac:dyDescent="0.25">
      <c r="B18" s="16"/>
      <c r="G18" s="58"/>
      <c r="H18" s="57"/>
      <c r="O18" s="58"/>
      <c r="P18" s="57"/>
    </row>
    <row r="19" spans="2:16" x14ac:dyDescent="0.25">
      <c r="B19" s="16"/>
      <c r="G19" s="58"/>
      <c r="H19" s="57"/>
      <c r="O19" s="58"/>
      <c r="P19" s="57"/>
    </row>
    <row r="20" spans="2:16" x14ac:dyDescent="0.25">
      <c r="B20" s="16"/>
      <c r="G20" s="58"/>
      <c r="H20" s="57"/>
      <c r="O20" s="58"/>
      <c r="P20" s="57"/>
    </row>
    <row r="21" spans="2:16" x14ac:dyDescent="0.25">
      <c r="B21" s="16"/>
      <c r="G21" s="58"/>
      <c r="H21" s="57"/>
      <c r="O21" s="58"/>
      <c r="P21" s="57"/>
    </row>
    <row r="22" spans="2:16" x14ac:dyDescent="0.25">
      <c r="B22" s="16"/>
      <c r="G22" s="58"/>
      <c r="H22" s="57"/>
      <c r="O22" s="58"/>
      <c r="P22" s="57"/>
    </row>
    <row r="23" spans="2:16" x14ac:dyDescent="0.25">
      <c r="B23" s="16"/>
      <c r="G23" s="58"/>
      <c r="H23" s="57"/>
      <c r="O23" s="58"/>
      <c r="P23" s="57"/>
    </row>
    <row r="24" spans="2:16" x14ac:dyDescent="0.25">
      <c r="B24" s="16"/>
      <c r="G24" s="58"/>
      <c r="H24" s="57"/>
      <c r="O24" s="58"/>
      <c r="P24" s="57"/>
    </row>
    <row r="25" spans="2:16" x14ac:dyDescent="0.25">
      <c r="B25" s="16"/>
      <c r="G25" s="58"/>
      <c r="H25" s="57"/>
      <c r="O25" s="58"/>
      <c r="P25" s="57"/>
    </row>
    <row r="26" spans="2:16" x14ac:dyDescent="0.25">
      <c r="B26" s="16"/>
      <c r="G26" s="58"/>
      <c r="H26" s="57"/>
      <c r="O26" s="58"/>
      <c r="P26" s="57"/>
    </row>
    <row r="27" spans="2:16" x14ac:dyDescent="0.25">
      <c r="B27" s="16"/>
      <c r="G27" s="58"/>
      <c r="H27" s="57"/>
      <c r="O27" s="58"/>
      <c r="P27" s="57"/>
    </row>
    <row r="28" spans="2:16" x14ac:dyDescent="0.25">
      <c r="G28" s="56"/>
      <c r="H28" s="57"/>
      <c r="O28" s="58"/>
      <c r="P28" s="57"/>
    </row>
    <row r="29" spans="2:16" x14ac:dyDescent="0.25">
      <c r="B29" s="54" t="s">
        <v>72</v>
      </c>
      <c r="C29" s="55" t="s">
        <v>71</v>
      </c>
      <c r="D29" s="55" t="s">
        <v>25</v>
      </c>
      <c r="E29" s="55" t="s">
        <v>83</v>
      </c>
      <c r="F29" s="55" t="s">
        <v>90</v>
      </c>
      <c r="G29" s="55" t="s">
        <v>81</v>
      </c>
      <c r="H29" s="55" t="s">
        <v>61</v>
      </c>
      <c r="I29" s="41"/>
      <c r="J29" s="61" t="s">
        <v>73</v>
      </c>
      <c r="K29" s="62" t="s">
        <v>71</v>
      </c>
      <c r="L29" s="62" t="s">
        <v>25</v>
      </c>
      <c r="M29" s="63" t="s">
        <v>83</v>
      </c>
      <c r="N29" s="62" t="s">
        <v>90</v>
      </c>
      <c r="O29" s="62" t="s">
        <v>81</v>
      </c>
      <c r="P29" s="62" t="s">
        <v>61</v>
      </c>
    </row>
    <row r="30" spans="2:16" x14ac:dyDescent="0.25">
      <c r="B30" s="39" t="str" cm="1">
        <f t="array" ref="B30:H33">IF(NOT(ISERROR(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
)),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*(IF(ISTEXT(Courses!M2:M46),G2=3,Courses!M2:M46&lt;=G2))),{1,0,1,1,0,0,0,1,0,1,1,1}),
"None")</f>
        <v>AE1108-II Aerospace Mechanics of Materials</v>
      </c>
      <c r="C30" s="40">
        <v>0</v>
      </c>
      <c r="D30" s="40">
        <v>3</v>
      </c>
      <c r="E30" s="40">
        <v>9</v>
      </c>
      <c r="F30" s="40">
        <v>7.5</v>
      </c>
      <c r="G30" s="58">
        <v>63</v>
      </c>
      <c r="H30" s="57">
        <v>1</v>
      </c>
      <c r="J30" s="16" t="str" cm="1">
        <f t="array" ref="J30:P33">IF(NOT(ISERROR(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
)),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*(IF(ISTEXT(Courses!M2:M46),G2=3,Courses!M2:M46&lt;=G2))),{1,0,1,1,0,0,0,1,0,1,1,1}),
"None")</f>
        <v>AE1205 Programming and Scientific Computing in Python for AE1</v>
      </c>
      <c r="K30" s="40">
        <v>0</v>
      </c>
      <c r="L30" s="40">
        <v>2</v>
      </c>
      <c r="M30" s="40">
        <v>9</v>
      </c>
      <c r="N30" s="40">
        <v>7.5</v>
      </c>
      <c r="O30" s="58">
        <v>42</v>
      </c>
      <c r="P30" s="57">
        <v>1</v>
      </c>
    </row>
    <row r="31" spans="2:16" x14ac:dyDescent="0.25">
      <c r="B31" s="39" t="str">
        <v>AE1222-II Aerospace Design and Systems Engineering Elements I</v>
      </c>
      <c r="C31" s="40">
        <v>0</v>
      </c>
      <c r="D31" s="40">
        <v>4</v>
      </c>
      <c r="E31" s="40">
        <v>9</v>
      </c>
      <c r="F31" s="58">
        <v>7.5</v>
      </c>
      <c r="G31" s="40">
        <v>84</v>
      </c>
      <c r="H31" s="57">
        <v>1</v>
      </c>
      <c r="J31" s="16" t="str">
        <v>AE1240-I Thermodynamics</v>
      </c>
      <c r="K31" s="40">
        <v>0</v>
      </c>
      <c r="L31" s="40">
        <v>3</v>
      </c>
      <c r="M31" s="40">
        <v>9</v>
      </c>
      <c r="N31" s="40">
        <v>7.5</v>
      </c>
      <c r="O31" s="58">
        <v>63</v>
      </c>
      <c r="P31" s="57">
        <v>1</v>
      </c>
    </row>
    <row r="32" spans="2:16" x14ac:dyDescent="0.25">
      <c r="B32" s="39" t="str">
        <v>AE1222-I Design &amp; Construction</v>
      </c>
      <c r="C32" s="40">
        <v>0</v>
      </c>
      <c r="D32" s="40">
        <v>5</v>
      </c>
      <c r="E32" s="40">
        <v>9</v>
      </c>
      <c r="F32" s="58">
        <v>7.5</v>
      </c>
      <c r="G32" s="40">
        <v>105</v>
      </c>
      <c r="H32" s="57">
        <v>1</v>
      </c>
      <c r="J32" s="16" t="str">
        <v>AE1240-II Waves and Electromagnetism</v>
      </c>
      <c r="K32" s="40">
        <v>0</v>
      </c>
      <c r="L32" s="40">
        <v>3</v>
      </c>
      <c r="M32" s="40">
        <v>9</v>
      </c>
      <c r="N32" s="40">
        <v>7.5</v>
      </c>
      <c r="O32" s="58">
        <v>63</v>
      </c>
      <c r="P32" s="57">
        <v>1</v>
      </c>
    </row>
    <row r="33" spans="2:16" x14ac:dyDescent="0.25">
      <c r="B33" s="39" t="str">
        <v>WI1402LR Calculus II</v>
      </c>
      <c r="C33" s="58">
        <v>0</v>
      </c>
      <c r="D33" s="40">
        <v>5</v>
      </c>
      <c r="E33" s="40">
        <v>9</v>
      </c>
      <c r="F33" s="40">
        <v>7.5</v>
      </c>
      <c r="G33" s="40">
        <v>105</v>
      </c>
      <c r="H33" s="57">
        <v>1</v>
      </c>
      <c r="J33" s="16" t="str">
        <v>WI1403LR Linear Algebra</v>
      </c>
      <c r="K33" s="40">
        <v>0</v>
      </c>
      <c r="L33" s="58">
        <v>5</v>
      </c>
      <c r="M33" s="58">
        <v>9</v>
      </c>
      <c r="N33" s="40">
        <v>7.5</v>
      </c>
      <c r="O33" s="40">
        <v>105</v>
      </c>
      <c r="P33" s="57">
        <v>1</v>
      </c>
    </row>
    <row r="34" spans="2:16" x14ac:dyDescent="0.25">
      <c r="D34" s="58"/>
      <c r="E34" s="58"/>
      <c r="G34" s="40"/>
      <c r="H34" s="57"/>
      <c r="L34" s="58"/>
      <c r="M34" s="58"/>
      <c r="P34" s="57"/>
    </row>
    <row r="35" spans="2:16" x14ac:dyDescent="0.25">
      <c r="D35" s="58"/>
      <c r="E35" s="58"/>
      <c r="G35" s="40"/>
      <c r="H35" s="57"/>
      <c r="P35" s="57"/>
    </row>
    <row r="36" spans="2:16" x14ac:dyDescent="0.25">
      <c r="G36" s="40"/>
      <c r="H36" s="57"/>
      <c r="P36" s="57"/>
    </row>
    <row r="37" spans="2:16" x14ac:dyDescent="0.25">
      <c r="G37" s="40"/>
      <c r="H37" s="57"/>
      <c r="P37" s="57"/>
    </row>
    <row r="38" spans="2:16" x14ac:dyDescent="0.25">
      <c r="G38" s="40"/>
      <c r="H38" s="57"/>
      <c r="J38" s="16"/>
      <c r="P38" s="57"/>
    </row>
    <row r="39" spans="2:16" x14ac:dyDescent="0.25">
      <c r="G39" s="40"/>
      <c r="H39" s="57"/>
      <c r="J39" s="16"/>
      <c r="P39" s="57"/>
    </row>
    <row r="40" spans="2:16" x14ac:dyDescent="0.25">
      <c r="B40" s="16"/>
      <c r="G40" s="40"/>
      <c r="H40" s="57"/>
      <c r="P40" s="57"/>
    </row>
    <row r="41" spans="2:16" x14ac:dyDescent="0.25">
      <c r="H41" s="57"/>
      <c r="P41" s="57"/>
    </row>
    <row r="42" spans="2:16" x14ac:dyDescent="0.25">
      <c r="B42" s="65" t="s">
        <v>92</v>
      </c>
      <c r="C42" s="66" t="s">
        <v>71</v>
      </c>
      <c r="D42" s="66" t="s">
        <v>25</v>
      </c>
      <c r="E42" s="70" t="s">
        <v>83</v>
      </c>
      <c r="F42" s="66" t="s">
        <v>90</v>
      </c>
      <c r="G42" s="66" t="s">
        <v>81</v>
      </c>
      <c r="H42" s="66" t="s">
        <v>61</v>
      </c>
      <c r="P42" s="57"/>
    </row>
    <row r="43" spans="2:16" x14ac:dyDescent="0.25">
      <c r="B43" s="39" t="str" cm="1">
        <f t="array" ref="B43">IF(NOT(ISERROR(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
)),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*(IF(ISTEXT(Courses!M2:M46),G2=3,Courses!M2:M46&lt;=G2))),{1,0,1,1,0,0,0,1,0,1,1,1}),
"None")</f>
        <v>None</v>
      </c>
      <c r="G43" s="40"/>
    </row>
    <row r="44" spans="2:16" x14ac:dyDescent="0.25">
      <c r="G44" s="40"/>
    </row>
    <row r="45" spans="2:16" x14ac:dyDescent="0.25">
      <c r="G45" s="40"/>
    </row>
    <row r="46" spans="2:16" x14ac:dyDescent="0.25">
      <c r="G46" s="40"/>
    </row>
    <row r="47" spans="2:16" x14ac:dyDescent="0.25">
      <c r="C47" s="64"/>
      <c r="G47" s="40"/>
    </row>
    <row r="48" spans="2:16" x14ac:dyDescent="0.25">
      <c r="G48" s="40"/>
    </row>
    <row r="49" spans="7:7" x14ac:dyDescent="0.25">
      <c r="G49" s="40"/>
    </row>
    <row r="50" spans="7:7" x14ac:dyDescent="0.25">
      <c r="G50" s="40"/>
    </row>
    <row r="51" spans="7:7" x14ac:dyDescent="0.25">
      <c r="G51" s="40"/>
    </row>
    <row r="52" spans="7:7" x14ac:dyDescent="0.25">
      <c r="G52" s="40"/>
    </row>
    <row r="53" spans="7:7" x14ac:dyDescent="0.25">
      <c r="G53" s="40"/>
    </row>
    <row r="54" spans="7:7" x14ac:dyDescent="0.25">
      <c r="G54" s="40"/>
    </row>
    <row r="55" spans="7:7" x14ac:dyDescent="0.25">
      <c r="G55" s="40"/>
    </row>
  </sheetData>
  <mergeCells count="5">
    <mergeCell ref="B10:P10"/>
    <mergeCell ref="G2:G5"/>
    <mergeCell ref="E2:F5"/>
    <mergeCell ref="E6:F7"/>
    <mergeCell ref="G6:G7"/>
  </mergeCells>
  <conditionalFormatting sqref="F13:F28 F30:F41 N13:N28 N30:N41 F43:F54">
    <cfRule type="colorScale" priority="29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L3">
    <cfRule type="expression" dxfId="27" priority="14">
      <formula>L3="AE Year 1"</formula>
    </cfRule>
    <cfRule type="expression" dxfId="26" priority="15">
      <formula>L3="AE Year 2"</formula>
    </cfRule>
    <cfRule type="expression" dxfId="25" priority="16">
      <formula>L3="AE Year 3"</formula>
    </cfRule>
  </conditionalFormatting>
  <conditionalFormatting sqref="B13:B27 J13:J27 B30:B41 J30:J41 B43:B54">
    <cfRule type="expression" dxfId="24" priority="2">
      <formula>AND(C13&gt;0, C13&lt;5)</formula>
    </cfRule>
    <cfRule type="expression" dxfId="23" priority="3">
      <formula>AND(C13&gt;0, C13&gt;5)</formula>
    </cfRule>
  </conditionalFormatting>
  <conditionalFormatting sqref="E13:E28 E30:E41 M13:M28 M30:M41 E43:E55">
    <cfRule type="colorScale" priority="73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3:G27 G30:G41 O13:O27 O30:O41 G43:G54">
    <cfRule type="colorScale" priority="77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3:H27 H30:H41 P13:P27 P30:P41 H43:H54">
    <cfRule type="expression" dxfId="22" priority="4">
      <formula>H13="Minor"</formula>
    </cfRule>
    <cfRule type="expression" dxfId="21" priority="24">
      <formula>H13=1</formula>
    </cfRule>
    <cfRule type="expression" dxfId="20" priority="25">
      <formula>H13=2</formula>
    </cfRule>
    <cfRule type="expression" dxfId="19" priority="26">
      <formula>H13=3</formula>
    </cfRule>
  </conditionalFormatting>
  <conditionalFormatting sqref="C6:C7">
    <cfRule type="expression" dxfId="18" priority="1">
      <formula>$C6&gt;8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85" zoomScaleNormal="85" workbookViewId="0">
      <selection activeCell="F36" sqref="F36"/>
    </sheetView>
  </sheetViews>
  <sheetFormatPr defaultRowHeight="14.3" x14ac:dyDescent="0.25"/>
  <cols>
    <col min="1" max="1" width="2.75" style="1" customWidth="1"/>
    <col min="2" max="2" width="55.875" style="1" customWidth="1"/>
    <col min="3" max="3" width="9.375" style="1" customWidth="1"/>
    <col min="4" max="4" width="8.375" style="1" customWidth="1"/>
    <col min="5" max="5" width="10.75" style="14" customWidth="1"/>
    <col min="6" max="6" width="8.375" style="1" customWidth="1"/>
    <col min="7" max="7" width="16.875" style="1" customWidth="1"/>
    <col min="8" max="8" width="16.625" style="1" customWidth="1"/>
    <col min="9" max="9" width="15.5" style="1" customWidth="1"/>
    <col min="10" max="10" width="16.12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3" t="s">
        <v>24</v>
      </c>
      <c r="C1" s="3" t="s">
        <v>60</v>
      </c>
      <c r="D1" s="3" t="s">
        <v>25</v>
      </c>
      <c r="E1" s="33" t="s">
        <v>61</v>
      </c>
      <c r="F1" s="3" t="s">
        <v>79</v>
      </c>
      <c r="G1" s="3" t="s">
        <v>70</v>
      </c>
      <c r="H1" s="3" t="s">
        <v>93</v>
      </c>
      <c r="I1" s="3" t="s">
        <v>69</v>
      </c>
      <c r="J1" s="3" t="s">
        <v>94</v>
      </c>
    </row>
    <row r="2" spans="2:14" x14ac:dyDescent="0.25">
      <c r="B2" s="19" t="s">
        <v>13</v>
      </c>
      <c r="C2" s="17" cm="1">
        <f t="array" ref="C2">_xlfn.LET(
_xlpm.courses, _xlfn._xlws.FILTER(Courses!$B$2:$E$46,IF(NOT(ISERROR(SEARCH(LEFT(B2,FIND(" ",B2)-1),Courses!$B$2:$B$46,1))),TRUE,FALSE)),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" s="1" cm="1">
        <f t="array" ref="D2">SUM(
_xlfn._xlws.FILTER(
_xlfn._xlws.FILTER(Courses!$B$2:$E$46, IF(NOT(ISERROR(SEARCH(LEFT(B2,FIND(" ",B2)-1), Courses!$B$2:$B$46, 1))), TRUE, FALSE)),
{0,0,0,1})
)</f>
        <v>6</v>
      </c>
      <c r="E2" s="32" cm="1">
        <f t="array" ref="E2">_xlfn.XLOOKUP(1, --ISNUMBER(SEARCH(LEFT(B2,FIND(" ",B2)-1), Courses!$B$2:$B$46)), Courses!$M$2:$M$46, "no match")</f>
        <v>1</v>
      </c>
      <c r="F2" s="1" t="b" cm="1">
        <f t="array" ref="F2">AND(AND(_xlfn._xlws.FILTER(_xlfn._xlws.FILTER(Courses!$B$2:$N$46,IF(NOT(ISERROR(SEARCH(LEFT(B2,FIND(" ",B2)-1),Courses!$B$2:$B$46,1))),TRUE,FALSE)),{0,0,0,0,0,0,0,0,0,0,0,0,1})), C2&gt;5.99)</f>
        <v>0</v>
      </c>
      <c r="G2" s="1" cm="1">
        <f t="array" ref="G2">_xlfn.LET(
_xlpm.courses, _xlfn._xlws.FILTER(Courses!$B$2:$M$46, IF(NOT(ISERROR(SEARCH(LEFT(B2,FIND(" ",B2)-1),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" s="1">
        <f t="shared" ref="H2:H23" si="0">IF(ISNUMBER(G2), G2*D2/SUM($D$2:$D$28), 0)</f>
        <v>0.3</v>
      </c>
      <c r="I2" s="1" cm="1">
        <f t="array" ref="I2">_xlfn.LET(
_xlpm.courses, _xlfn._xlws.FILTER(Courses!$B$2:$M$46, IF(NOT(ISERROR(SEARCH(LEFT(B2,FIND(" ",B2)-1),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" s="1">
        <f t="shared" ref="J2:J23" si="1">IF(ISNUMBER(I2), I2*D2/SUM($D$2:$D$28), 0)</f>
        <v>0.25</v>
      </c>
    </row>
    <row r="3" spans="2:14" x14ac:dyDescent="0.25">
      <c r="B3" s="19" t="s">
        <v>2</v>
      </c>
      <c r="C3" s="17" cm="1">
        <f t="array" ref="C3">_xlfn.LET(
_xlpm.courses, _xlfn._xlws.FILTER(Courses!$B$2:$E$46,IF(NOT(ISERROR(SEARCH(LEFT(B3,FIND(" ",B3)-1),Courses!$B$2:$B$46,1))),TRUE,FALSE)),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3" s="1" cm="1">
        <f t="array" ref="D3">SUM(
_xlfn._xlws.FILTER(
_xlfn._xlws.FILTER(Courses!$B$2:$E$46, IF(NOT(ISERROR(SEARCH(LEFT(B3,FIND(" ",B3)-1), Courses!$B$2:$B$46, 1))), TRUE, FALSE)),
{0,0,0,1})
)</f>
        <v>9</v>
      </c>
      <c r="E3" s="32" cm="1">
        <f t="array" ref="E3">_xlfn.XLOOKUP(1, --ISNUMBER(SEARCH(LEFT(B3,FIND(" ",B3)-1), Courses!$B$2:$B$46)), Courses!$M$2:$M$46, "no match")</f>
        <v>1</v>
      </c>
      <c r="F3" s="1" t="b" cm="1">
        <f t="array" ref="F3">AND(AND(_xlfn._xlws.FILTER(_xlfn._xlws.FILTER(Courses!$B$2:$N$46,IF(NOT(ISERROR(SEARCH(LEFT(B3,FIND(" ",B3)-1),Courses!$B$2:$B$46,1))),TRUE,FALSE)),{0,0,0,0,0,0,0,0,0,0,0,0,1})), C3&gt;5.99)</f>
        <v>0</v>
      </c>
      <c r="G3" s="1" cm="1">
        <f t="array" ref="G3">_xlfn.LET(
_xlpm.courses, _xlfn._xlws.FILTER(Courses!$B$2:$M$46, IF(NOT(ISERROR(SEARCH(LEFT(B3,FIND(" ",B3)-1),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3" s="1">
        <f t="shared" si="0"/>
        <v>0.45</v>
      </c>
      <c r="I3" s="1" cm="1">
        <f t="array" ref="I3">_xlfn.LET(
_xlpm.courses, _xlfn._xlws.FILTER(Courses!$B$2:$M$46, IF(NOT(ISERROR(SEARCH(LEFT(B3,FIND(" ",B3)-1),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3" s="1">
        <f t="shared" si="1"/>
        <v>0.375</v>
      </c>
    </row>
    <row r="4" spans="2:14" ht="16.3" x14ac:dyDescent="0.25">
      <c r="B4" s="19" t="s">
        <v>17</v>
      </c>
      <c r="C4" s="17" cm="1">
        <f t="array" ref="C4">_xlfn.LET(
_xlpm.courses, _xlfn._xlws.FILTER(Courses!$B$2:$E$46,IF(NOT(ISERROR(SEARCH(LEFT(B4,FIND(" ",B4)-1),Courses!$B$2:$B$46,1))),TRUE,FALSE)),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4" s="1" cm="1">
        <f t="array" ref="D4">SUM(
_xlfn._xlws.FILTER(
_xlfn._xlws.FILTER(Courses!$B$2:$E$46, IF(NOT(ISERROR(SEARCH(LEFT(B4,FIND(" ",B4)-1), Courses!$B$2:$B$46, 1))), TRUE, FALSE)),
{0,0,0,1})
)</f>
        <v>5</v>
      </c>
      <c r="E4" s="32" cm="1">
        <f t="array" ref="E4">_xlfn.XLOOKUP(1, --ISNUMBER(SEARCH(LEFT(B4,FIND(" ",B4)-1), Courses!$B$2:$B$46)), Courses!$M$2:$M$46, "no match")</f>
        <v>1</v>
      </c>
      <c r="F4" s="1" t="b" cm="1">
        <f t="array" ref="F4">AND(AND(_xlfn._xlws.FILTER(_xlfn._xlws.FILTER(Courses!$B$2:$N$46,IF(NOT(ISERROR(SEARCH(LEFT(B4,FIND(" ",B4)-1),Courses!$B$2:$B$46,1))),TRUE,FALSE)),{0,0,0,0,0,0,0,0,0,0,0,0,1})), C4&gt;5.99)</f>
        <v>0</v>
      </c>
      <c r="G4" s="1" cm="1">
        <f t="array" ref="G4">_xlfn.LET(
_xlpm.courses, _xlfn._xlws.FILTER(Courses!$B$2:$M$46, IF(NOT(ISERROR(SEARCH(LEFT(B4,FIND(" ",B4)-1),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4" s="1">
        <f t="shared" si="0"/>
        <v>0.25</v>
      </c>
      <c r="I4" s="1" cm="1">
        <f t="array" ref="I4">_xlfn.LET(
_xlpm.courses, _xlfn._xlws.FILTER(Courses!$B$2:$M$46, IF(NOT(ISERROR(SEARCH(LEFT(B4,FIND(" ",B4)-1),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4" s="1">
        <f t="shared" si="1"/>
        <v>0.20833333333333334</v>
      </c>
      <c r="L4" s="18"/>
      <c r="N4" s="17"/>
    </row>
    <row r="5" spans="2:14" x14ac:dyDescent="0.25">
      <c r="B5" s="19" t="s">
        <v>9</v>
      </c>
      <c r="C5" s="17" cm="1">
        <f t="array" ref="C5">_xlfn.LET(
_xlpm.courses, _xlfn._xlws.FILTER(Courses!$B$2:$E$46,IF(NOT(ISERROR(SEARCH(LEFT(B5,FIND(" ",B5)-1),Courses!$B$2:$B$46,1))),TRUE,FALSE)),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5" s="1" cm="1">
        <f t="array" ref="D5">SUM(
_xlfn._xlws.FILTER(
_xlfn._xlws.FILTER(Courses!$B$2:$E$46, IF(NOT(ISERROR(SEARCH(LEFT(B5,FIND(" ",B5)-1), Courses!$B$2:$B$46, 1))), TRUE, FALSE)),
{0,0,0,1})
)</f>
        <v>7</v>
      </c>
      <c r="E5" s="32" cm="1">
        <f t="array" ref="E5">_xlfn.XLOOKUP(1, --ISNUMBER(SEARCH(LEFT(B5,FIND(" ",B5)-1), Courses!$B$2:$B$46)), Courses!$M$2:$M$46, "no match")</f>
        <v>1</v>
      </c>
      <c r="F5" s="1" t="b" cm="1">
        <f t="array" ref="F5">AND(AND(_xlfn._xlws.FILTER(_xlfn._xlws.FILTER(Courses!$B$2:$N$46,IF(NOT(ISERROR(SEARCH(LEFT(B5,FIND(" ",B5)-1),Courses!$B$2:$B$46,1))),TRUE,FALSE)),{0,0,0,0,0,0,0,0,0,0,0,0,1})), C5&gt;5.99)</f>
        <v>0</v>
      </c>
      <c r="G5" s="1" cm="1">
        <f t="array" ref="G5">_xlfn.LET(
_xlpm.courses, _xlfn._xlws.FILTER(Courses!$B$2:$M$46, IF(NOT(ISERROR(SEARCH(LEFT(B5,FIND(" ",B5)-1),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5" s="1">
        <f t="shared" si="0"/>
        <v>0.35</v>
      </c>
      <c r="I5" s="1" cm="1">
        <f t="array" ref="I5">_xlfn.LET(
_xlpm.courses, _xlfn._xlws.FILTER(Courses!$B$2:$M$46, IF(NOT(ISERROR(SEARCH(LEFT(B5,FIND(" ",B5)-1),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5" s="1">
        <f t="shared" si="1"/>
        <v>0.29166666666666669</v>
      </c>
    </row>
    <row r="6" spans="2:14" x14ac:dyDescent="0.25">
      <c r="B6" s="1" t="s">
        <v>22</v>
      </c>
      <c r="C6" s="17" cm="1">
        <f t="array" ref="C6">_xlfn.LET(
_xlpm.courses, _xlfn._xlws.FILTER(Courses!$B$2:$E$46,IF(NOT(ISERROR(SEARCH(LEFT(B6,FIND(" ",B6)-1),Courses!$B$2:$B$46,1))),TRUE,FALSE)),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6" s="1" cm="1">
        <f t="array" ref="D6">SUM(
_xlfn._xlws.FILTER(
_xlfn._xlws.FILTER(Courses!$B$2:$E$46, IF(NOT(ISERROR(SEARCH(LEFT(B6,FIND(" ",B6)-1), Courses!$B$2:$B$46, 1))), TRUE, FALSE)),
{0,0,0,1})
)</f>
        <v>2</v>
      </c>
      <c r="E6" s="32" cm="1">
        <f t="array" ref="E6">_xlfn.XLOOKUP(1, --ISNUMBER(SEARCH(LEFT(B6,FIND(" ",B6)-1), Courses!$B$2:$B$46)), Courses!$M$2:$M$46, "no match")</f>
        <v>1</v>
      </c>
      <c r="F6" s="1" t="b" cm="1">
        <f t="array" ref="F6">AND(AND(_xlfn._xlws.FILTER(_xlfn._xlws.FILTER(Courses!$B$2:$N$46,IF(NOT(ISERROR(SEARCH(LEFT(B6,FIND(" ",B6)-1),Courses!$B$2:$B$46,1))),TRUE,FALSE)),{0,0,0,0,0,0,0,0,0,0,0,0,1})), C6&gt;5.99)</f>
        <v>0</v>
      </c>
      <c r="G6" s="1" cm="1">
        <f t="array" ref="G6">_xlfn.LET(
_xlpm.courses, _xlfn._xlws.FILTER(Courses!$B$2:$M$46, IF(NOT(ISERROR(SEARCH(LEFT(B6,FIND(" ",B6)-1),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6" s="1">
        <f t="shared" si="0"/>
        <v>0.1</v>
      </c>
      <c r="I6" s="1" cm="1">
        <f t="array" ref="I6">_xlfn.LET(
_xlpm.courses, _xlfn._xlws.FILTER(Courses!$B$2:$M$46, IF(NOT(ISERROR(SEARCH(LEFT(B6,FIND(" ",B6)-1),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6" s="1">
        <f t="shared" si="1"/>
        <v>8.3333333333333329E-2</v>
      </c>
    </row>
    <row r="7" spans="2:14" x14ac:dyDescent="0.25">
      <c r="B7" s="19" t="s">
        <v>3</v>
      </c>
      <c r="C7" s="17" cm="1">
        <f t="array" ref="C7">_xlfn.LET(
_xlpm.courses, _xlfn._xlws.FILTER(Courses!$B$2:$E$46,IF(NOT(ISERROR(SEARCH(LEFT(B7,FIND(" ",B7)-1),Courses!$B$2:$B$46,1))),TRUE,FALSE)),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7" s="1" cm="1">
        <f t="array" ref="D7">SUM(
_xlfn._xlws.FILTER(
_xlfn._xlws.FILTER(Courses!$B$2:$E$46, IF(NOT(ISERROR(SEARCH(LEFT(B7,FIND(" ",B7)-1), Courses!$B$2:$B$46, 1))), TRUE, FALSE)),
{0,0,0,1})
)</f>
        <v>9</v>
      </c>
      <c r="E7" s="32" cm="1">
        <f t="array" ref="E7">_xlfn.XLOOKUP(1, --ISNUMBER(SEARCH(LEFT(B7,FIND(" ",B7)-1), Courses!$B$2:$B$46)), Courses!$M$2:$M$46, "no match")</f>
        <v>1</v>
      </c>
      <c r="F7" s="1" t="b" cm="1">
        <f t="array" ref="F7">AND(AND(_xlfn._xlws.FILTER(_xlfn._xlws.FILTER(Courses!$B$2:$N$46,IF(NOT(ISERROR(SEARCH(LEFT(B7,FIND(" ",B7)-1),Courses!$B$2:$B$46,1))),TRUE,FALSE)),{0,0,0,0,0,0,0,0,0,0,0,0,1})), C7&gt;5.99)</f>
        <v>0</v>
      </c>
      <c r="G7" s="1" cm="1">
        <f t="array" ref="G7">_xlfn.LET(
_xlpm.courses, _xlfn._xlws.FILTER(Courses!$B$2:$M$46, IF(NOT(ISERROR(SEARCH(LEFT(B7,FIND(" ",B7)-1),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7" s="1">
        <f t="shared" si="0"/>
        <v>0.45</v>
      </c>
      <c r="I7" s="1" cm="1">
        <f t="array" ref="I7">_xlfn.LET(
_xlpm.courses, _xlfn._xlws.FILTER(Courses!$B$2:$M$46, IF(NOT(ISERROR(SEARCH(LEFT(B7,FIND(" ",B7)-1),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7" s="1">
        <f t="shared" si="1"/>
        <v>0.375</v>
      </c>
    </row>
    <row r="8" spans="2:14" x14ac:dyDescent="0.25">
      <c r="B8" s="1" t="s">
        <v>11</v>
      </c>
      <c r="C8" s="17" cm="1">
        <f t="array" ref="C8">_xlfn.LET(
_xlpm.courses, _xlfn._xlws.FILTER(Courses!$B$2:$E$46,IF(NOT(ISERROR(SEARCH(LEFT(B8,FIND(" ",B8)-1),Courses!$B$2:$B$46,1))),TRUE,FALSE)),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8" s="1" cm="1">
        <f t="array" ref="D8">SUM(
_xlfn._xlws.FILTER(
_xlfn._xlws.FILTER(Courses!$B$2:$E$46, IF(NOT(ISERROR(SEARCH(LEFT(B8,FIND(" ",B8)-1), Courses!$B$2:$B$46, 1))), TRUE, FALSE)),
{0,0,0,1})
)</f>
        <v>6</v>
      </c>
      <c r="E8" s="32" cm="1">
        <f t="array" ref="E8">_xlfn.XLOOKUP(1, --ISNUMBER(SEARCH(LEFT(B8,FIND(" ",B8)-1), Courses!$B$2:$B$46)), Courses!$M$2:$M$46, "no match")</f>
        <v>1</v>
      </c>
      <c r="F8" s="1" t="b" cm="1">
        <f t="array" ref="F8">AND(AND(_xlfn._xlws.FILTER(_xlfn._xlws.FILTER(Courses!$B$2:$N$46,IF(NOT(ISERROR(SEARCH(LEFT(B8,FIND(" ",B8)-1),Courses!$B$2:$B$46,1))),TRUE,FALSE)),{0,0,0,0,0,0,0,0,0,0,0,0,1})), C8&gt;5.99)</f>
        <v>0</v>
      </c>
      <c r="G8" s="1" cm="1">
        <f t="array" ref="G8">_xlfn.LET(
_xlpm.courses, _xlfn._xlws.FILTER(Courses!$B$2:$M$46, IF(NOT(ISERROR(SEARCH(LEFT(B8,FIND(" ",B8)-1),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8" s="1">
        <f t="shared" si="0"/>
        <v>0.3</v>
      </c>
      <c r="I8" s="1" cm="1">
        <f t="array" ref="I8">_xlfn.LET(
_xlpm.courses, _xlfn._xlws.FILTER(Courses!$B$2:$M$46, IF(NOT(ISERROR(SEARCH(LEFT(B8,FIND(" ",B8)-1),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8" s="1">
        <f t="shared" si="1"/>
        <v>0.25</v>
      </c>
    </row>
    <row r="9" spans="2:14" x14ac:dyDescent="0.25">
      <c r="B9" s="19" t="s">
        <v>101</v>
      </c>
      <c r="C9" s="17" cm="1">
        <f t="array" ref="C9">_xlfn.LET(
_xlpm.courses, _xlfn._xlws.FILTER(Courses!$B$2:$E$46,IF(NOT(ISERROR(SEARCH(LEFT(B9,FIND(" ",B9)-1),Courses!$B$2:$B$46,1))),TRUE,FALSE)),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9" s="1" cm="1">
        <f t="array" ref="D9">SUM(
_xlfn._xlws.FILTER(
_xlfn._xlws.FILTER(Courses!$B$2:$E$46, IF(NOT(ISERROR(SEARCH(LEFT(B9,FIND(" ",B9)-1), Courses!$B$2:$B$46, 1))), TRUE, FALSE)),
{0,0,0,1})
)</f>
        <v>5</v>
      </c>
      <c r="E9" s="32" cm="1">
        <f t="array" ref="E9">_xlfn.XLOOKUP(1, --ISNUMBER(SEARCH(LEFT(B9,FIND(" ",B9)-1), Courses!$B$2:$B$46)), Courses!$M$2:$M$46, "no match")</f>
        <v>1</v>
      </c>
      <c r="F9" s="1" t="b" cm="1">
        <f t="array" ref="F9">AND(AND(_xlfn._xlws.FILTER(_xlfn._xlws.FILTER(Courses!$B$2:$N$46,IF(NOT(ISERROR(SEARCH(LEFT(B9,FIND(" ",B9)-1),Courses!$B$2:$B$46,1))),TRUE,FALSE)),{0,0,0,0,0,0,0,0,0,0,0,0,1})), C9&gt;5.99)</f>
        <v>0</v>
      </c>
      <c r="G9" s="1" cm="1">
        <f t="array" ref="G9">_xlfn.LET(
_xlpm.courses, _xlfn._xlws.FILTER(Courses!$B$2:$M$46, IF(NOT(ISERROR(SEARCH(LEFT(B9,FIND(" ",B9)-1),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9" s="1">
        <f t="shared" si="0"/>
        <v>0.25</v>
      </c>
      <c r="I9" s="1" cm="1">
        <f t="array" ref="I9">_xlfn.LET(
_xlpm.courses, _xlfn._xlws.FILTER(Courses!$B$2:$M$46, IF(NOT(ISERROR(SEARCH(LEFT(B9,FIND(" ",B9)-1),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9" s="1">
        <f t="shared" si="1"/>
        <v>0.20833333333333334</v>
      </c>
    </row>
    <row r="10" spans="2:14" x14ac:dyDescent="0.25">
      <c r="B10" s="1" t="s">
        <v>18</v>
      </c>
      <c r="C10" s="17" cm="1">
        <f t="array" ref="C10">_xlfn.LET(
_xlpm.courses, _xlfn._xlws.FILTER(Courses!$B$2:$E$46,IF(NOT(ISERROR(SEARCH(LEFT(B10,FIND(" ",B10)-1),Courses!$B$2:$B$46,1))),TRUE,FALSE)),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0" s="1" cm="1">
        <f t="array" ref="D10">SUM(
_xlfn._xlws.FILTER(
_xlfn._xlws.FILTER(Courses!$B$2:$E$46, IF(NOT(ISERROR(SEARCH(LEFT(B10,FIND(" ",B10)-1), Courses!$B$2:$B$46, 1))), TRUE, FALSE)),
{0,0,0,1})
)</f>
        <v>5</v>
      </c>
      <c r="E10" s="32" cm="1">
        <f t="array" ref="E10">_xlfn.XLOOKUP(1, --ISNUMBER(SEARCH(LEFT(B10,FIND(" ",B10)-1), Courses!$B$2:$B$46)), Courses!$M$2:$M$46, "no match")</f>
        <v>1</v>
      </c>
      <c r="F10" s="1" t="b" cm="1">
        <f t="array" ref="F10">AND(AND(_xlfn._xlws.FILTER(_xlfn._xlws.FILTER(Courses!$B$2:$N$46,IF(NOT(ISERROR(SEARCH(LEFT(B10,FIND(" ",B10)-1),Courses!$B$2:$B$46,1))),TRUE,FALSE)),{0,0,0,0,0,0,0,0,0,0,0,0,1})), C10&gt;5.99)</f>
        <v>0</v>
      </c>
      <c r="G10" s="1" cm="1">
        <f t="array" ref="G10">_xlfn.LET(
_xlpm.courses, _xlfn._xlws.FILTER(Courses!$B$2:$M$46, IF(NOT(ISERROR(SEARCH(LEFT(B10,FIND(" ",B10)-1),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0" s="1">
        <f t="shared" si="0"/>
        <v>0.25</v>
      </c>
      <c r="I10" s="1" cm="1">
        <f t="array" ref="I10">_xlfn.LET(
_xlpm.courses, _xlfn._xlws.FILTER(Courses!$B$2:$M$46, IF(NOT(ISERROR(SEARCH(LEFT(B10,FIND(" ",B10)-1),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0" s="1">
        <f t="shared" si="1"/>
        <v>0.20833333333333334</v>
      </c>
    </row>
    <row r="11" spans="2:14" x14ac:dyDescent="0.25">
      <c r="B11" s="19" t="s">
        <v>12</v>
      </c>
      <c r="C11" s="17" cm="1">
        <f t="array" ref="C11">_xlfn.LET(
_xlpm.courses, _xlfn._xlws.FILTER(Courses!$B$2:$E$46,IF(NOT(ISERROR(SEARCH(LEFT(B11,FIND(" ",B11)-1),Courses!$B$2:$B$46,1))),TRUE,FALSE)),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1" s="1" cm="1">
        <f t="array" ref="D11">SUM(
_xlfn._xlws.FILTER(
_xlfn._xlws.FILTER(Courses!$B$2:$E$46, IF(NOT(ISERROR(SEARCH(LEFT(B11,FIND(" ",B11)-1), Courses!$B$2:$B$46, 1))), TRUE, FALSE)),
{0,0,0,1})
)</f>
        <v>6</v>
      </c>
      <c r="E11" s="32" cm="1">
        <f t="array" ref="E11">_xlfn.XLOOKUP(1, --ISNUMBER(SEARCH(LEFT(B11,FIND(" ",B11)-1), Courses!$B$2:$B$46)), Courses!$M$2:$M$46, "no match")</f>
        <v>1</v>
      </c>
      <c r="F11" s="1" t="b" cm="1">
        <f t="array" ref="F11">AND(AND(_xlfn._xlws.FILTER(_xlfn._xlws.FILTER(Courses!$B$2:$N$46,IF(NOT(ISERROR(SEARCH(LEFT(B11,FIND(" ",B11)-1),Courses!$B$2:$B$46,1))),TRUE,FALSE)),{0,0,0,0,0,0,0,0,0,0,0,0,1})), C11&gt;5.99)</f>
        <v>0</v>
      </c>
      <c r="G11" s="1" cm="1">
        <f t="array" ref="G11">_xlfn.LET(
_xlpm.courses, _xlfn._xlws.FILTER(Courses!$B$2:$M$46, IF(NOT(ISERROR(SEARCH(LEFT(B11,FIND(" ",B11)-1),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1" s="1">
        <f t="shared" si="0"/>
        <v>0.3</v>
      </c>
      <c r="I11" s="1" cm="1">
        <f t="array" ref="I11">_xlfn.LET(
_xlpm.courses, _xlfn._xlws.FILTER(Courses!$B$2:$M$46, IF(NOT(ISERROR(SEARCH(LEFT(B11,FIND(" ",B11)-1),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1" s="1">
        <f t="shared" si="1"/>
        <v>0.25</v>
      </c>
    </row>
    <row r="12" spans="2:14" x14ac:dyDescent="0.25">
      <c r="B12" s="19" t="s">
        <v>4</v>
      </c>
      <c r="C12" s="17" cm="1">
        <f t="array" ref="C12">_xlfn.LET(
_xlpm.courses, _xlfn._xlws.FILTER(Courses!$B$2:$E$46,IF(NOT(ISERROR(SEARCH(LEFT(B12,FIND(" ",B12)-1),Courses!$B$2:$B$46,1))),TRUE,FALSE)),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2" s="1" cm="1">
        <f t="array" ref="D12">SUM(
_xlfn._xlws.FILTER(
_xlfn._xlws.FILTER(Courses!$B$2:$E$46, IF(NOT(ISERROR(SEARCH(LEFT(B12,FIND(" ",B12)-1), Courses!$B$2:$B$46, 1))), TRUE, FALSE)),
{0,0,0,1})
)</f>
        <v>8</v>
      </c>
      <c r="E12" s="32" cm="1">
        <f t="array" ref="E12">_xlfn.XLOOKUP(1, --ISNUMBER(SEARCH(LEFT(B12,FIND(" ",B12)-1), Courses!$B$2:$B$46)), Courses!$M$2:$M$46, "no match")</f>
        <v>2</v>
      </c>
      <c r="F12" s="1" t="b" cm="1">
        <f t="array" ref="F12">AND(AND(_xlfn._xlws.FILTER(_xlfn._xlws.FILTER(Courses!$B$2:$N$46,IF(NOT(ISERROR(SEARCH(LEFT(B12,FIND(" ",B12)-1),Courses!$B$2:$B$46,1))),TRUE,FALSE)),{0,0,0,0,0,0,0,0,0,0,0,0,1})), C12&gt;5.99)</f>
        <v>0</v>
      </c>
      <c r="G12" s="1" cm="1">
        <f t="array" ref="G12">_xlfn.LET(
_xlpm.courses, _xlfn._xlws.FILTER(Courses!$B$2:$M$46, IF(NOT(ISERROR(SEARCH(LEFT(B12,FIND(" ",B12)-1),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2" s="1">
        <f t="shared" si="0"/>
        <v>0.4</v>
      </c>
      <c r="I12" s="1" cm="1">
        <f t="array" ref="I12">_xlfn.LET(
_xlpm.courses, _xlfn._xlws.FILTER(Courses!$B$2:$M$46, IF(NOT(ISERROR(SEARCH(LEFT(B12,FIND(" ",B12)-1),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2" s="1">
        <f t="shared" si="1"/>
        <v>0.33333333333333331</v>
      </c>
    </row>
    <row r="13" spans="2:14" x14ac:dyDescent="0.25">
      <c r="B13" s="19" t="s">
        <v>8</v>
      </c>
      <c r="C13" s="17" cm="1">
        <f t="array" ref="C13">_xlfn.LET(
_xlpm.courses, _xlfn._xlws.FILTER(Courses!$B$2:$E$46,IF(NOT(ISERROR(SEARCH(LEFT(B13,FIND(" ",B13)-1),Courses!$B$2:$B$46,1))),TRUE,FALSE)),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3" s="1" cm="1">
        <f t="array" ref="D13">SUM(
_xlfn._xlws.FILTER(
_xlfn._xlws.FILTER(Courses!$B$2:$E$46, IF(NOT(ISERROR(SEARCH(LEFT(B13,FIND(" ",B13)-1), Courses!$B$2:$B$46, 1))), TRUE, FALSE)),
{0,0,0,1})
)</f>
        <v>7</v>
      </c>
      <c r="E13" s="32" cm="1">
        <f t="array" ref="E13">_xlfn.XLOOKUP(1, --ISNUMBER(SEARCH(LEFT(B13,FIND(" ",B13)-1), Courses!$B$2:$B$46)), Courses!$M$2:$M$46, "no match")</f>
        <v>2</v>
      </c>
      <c r="F13" s="1" t="b" cm="1">
        <f t="array" ref="F13">AND(AND(_xlfn._xlws.FILTER(_xlfn._xlws.FILTER(Courses!$B$2:$N$46,IF(NOT(ISERROR(SEARCH(LEFT(B13,FIND(" ",B13)-1),Courses!$B$2:$B$46,1))),TRUE,FALSE)),{0,0,0,0,0,0,0,0,0,0,0,0,1})), C13&gt;5.99)</f>
        <v>0</v>
      </c>
      <c r="G13" s="1" cm="1">
        <f t="array" ref="G13">_xlfn.LET(
_xlpm.courses, _xlfn._xlws.FILTER(Courses!$B$2:$M$46, IF(NOT(ISERROR(SEARCH(LEFT(B13,FIND(" ",B13)-1),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3" s="1">
        <f t="shared" si="0"/>
        <v>0.35</v>
      </c>
      <c r="I13" s="1" cm="1">
        <f t="array" ref="I13">_xlfn.LET(
_xlpm.courses, _xlfn._xlws.FILTER(Courses!$B$2:$M$46, IF(NOT(ISERROR(SEARCH(LEFT(B13,FIND(" ",B13)-1),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3" s="1">
        <f t="shared" si="1"/>
        <v>0.29166666666666669</v>
      </c>
    </row>
    <row r="14" spans="2:14" x14ac:dyDescent="0.25">
      <c r="B14" s="19" t="s">
        <v>6</v>
      </c>
      <c r="C14" s="17" cm="1">
        <f t="array" ref="C14">_xlfn.LET(
_xlpm.courses, _xlfn._xlws.FILTER(Courses!$B$2:$E$46,IF(NOT(ISERROR(SEARCH(LEFT(B14,FIND(" ",B14)-1),Courses!$B$2:$B$46,1))),TRUE,FALSE)),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4" s="1" cm="1">
        <f t="array" ref="D14">SUM(
_xlfn._xlws.FILTER(
_xlfn._xlws.FILTER(Courses!$B$2:$E$46, IF(NOT(ISERROR(SEARCH(LEFT(B14,FIND(" ",B14)-1), Courses!$B$2:$B$46, 1))), TRUE, FALSE)),
{0,0,0,1})
)</f>
        <v>8</v>
      </c>
      <c r="E14" s="32" cm="1">
        <f t="array" ref="E14">_xlfn.XLOOKUP(1, --ISNUMBER(SEARCH(LEFT(B14,FIND(" ",B14)-1), Courses!$B$2:$B$46)), Courses!$M$2:$M$46, "no match")</f>
        <v>2</v>
      </c>
      <c r="F14" s="1" t="b" cm="1">
        <f t="array" ref="F14">AND(AND(_xlfn._xlws.FILTER(_xlfn._xlws.FILTER(Courses!$B$2:$N$46,IF(NOT(ISERROR(SEARCH(LEFT(B14,FIND(" ",B14)-1),Courses!$B$2:$B$46,1))),TRUE,FALSE)),{0,0,0,0,0,0,0,0,0,0,0,0,1})), C14&gt;5.99)</f>
        <v>0</v>
      </c>
      <c r="G14" s="1" cm="1">
        <f t="array" ref="G14">_xlfn.LET(
_xlpm.courses, _xlfn._xlws.FILTER(Courses!$B$2:$M$46, IF(NOT(ISERROR(SEARCH(LEFT(B14,FIND(" ",B14)-1),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4" s="1">
        <f t="shared" si="0"/>
        <v>0.4</v>
      </c>
      <c r="I14" s="1" cm="1">
        <f t="array" ref="I14">_xlfn.LET(
_xlpm.courses, _xlfn._xlws.FILTER(Courses!$B$2:$M$46, IF(NOT(ISERROR(SEARCH(LEFT(B14,FIND(" ",B14)-1),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4" s="1">
        <f t="shared" si="1"/>
        <v>0.33333333333333331</v>
      </c>
    </row>
    <row r="15" spans="2:14" x14ac:dyDescent="0.25">
      <c r="B15" s="19" t="s">
        <v>14</v>
      </c>
      <c r="C15" s="17" cm="1">
        <f t="array" ref="C15">_xlfn.LET(
_xlpm.courses, _xlfn._xlws.FILTER(Courses!$B$2:$E$46,IF(NOT(ISERROR(SEARCH(LEFT(B15,FIND(" ",B15)-1),Courses!$B$2:$B$46,1))),TRUE,FALSE)),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5" s="1" cm="1">
        <f t="array" ref="D15">SUM(
_xlfn._xlws.FILTER(
_xlfn._xlws.FILTER(Courses!$B$2:$E$46, IF(NOT(ISERROR(SEARCH(LEFT(B15,FIND(" ",B15)-1), Courses!$B$2:$B$46, 1))), TRUE, FALSE)),
{0,0,0,1})
)</f>
        <v>6</v>
      </c>
      <c r="E15" s="32" cm="1">
        <f t="array" ref="E15">_xlfn.XLOOKUP(1, --ISNUMBER(SEARCH(LEFT(B15,FIND(" ",B15)-1), Courses!$B$2:$B$46)), Courses!$M$2:$M$46, "no match")</f>
        <v>2</v>
      </c>
      <c r="F15" s="1" t="b" cm="1">
        <f t="array" ref="F15">AND(AND(_xlfn._xlws.FILTER(_xlfn._xlws.FILTER(Courses!$B$2:$N$46,IF(NOT(ISERROR(SEARCH(LEFT(B15,FIND(" ",B15)-1),Courses!$B$2:$B$46,1))),TRUE,FALSE)),{0,0,0,0,0,0,0,0,0,0,0,0,1})), C15&gt;5.99)</f>
        <v>0</v>
      </c>
      <c r="G15" s="1" cm="1">
        <f t="array" ref="G15">_xlfn.LET(
_xlpm.courses, _xlfn._xlws.FILTER(Courses!$B$2:$M$46, IF(NOT(ISERROR(SEARCH(LEFT(B15,FIND(" ",B15)-1),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5" s="1">
        <f t="shared" si="0"/>
        <v>0.3</v>
      </c>
      <c r="I15" s="1" cm="1">
        <f t="array" ref="I15">_xlfn.LET(
_xlpm.courses, _xlfn._xlws.FILTER(Courses!$B$2:$M$46, IF(NOT(ISERROR(SEARCH(LEFT(B15,FIND(" ",B15)-1),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5" s="1">
        <f t="shared" si="1"/>
        <v>0.25</v>
      </c>
    </row>
    <row r="16" spans="2:14" x14ac:dyDescent="0.25">
      <c r="B16" s="19" t="s">
        <v>33</v>
      </c>
      <c r="C16" s="17" cm="1">
        <f t="array" ref="C16">_xlfn.LET(
_xlpm.courses, _xlfn._xlws.FILTER(Courses!$B$2:$E$46,IF(NOT(ISERROR(SEARCH(LEFT(B16,FIND(" ",B16)-1),Courses!$B$2:$B$46,1))),TRUE,FALSE)),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6" s="1" cm="1">
        <f t="array" ref="D16">SUM(
_xlfn._xlws.FILTER(
_xlfn._xlws.FILTER(Courses!$B$2:$E$46, IF(NOT(ISERROR(SEARCH(LEFT(B16,FIND(" ",B16)-1), Courses!$B$2:$B$46, 1))), TRUE, FALSE)),
{0,0,0,1})
)</f>
        <v>8</v>
      </c>
      <c r="E16" s="32" cm="1">
        <f t="array" ref="E16">_xlfn.XLOOKUP(1, --ISNUMBER(SEARCH(LEFT(B16,FIND(" ",B16)-1), Courses!$B$2:$B$46)), Courses!$M$2:$M$46, "no match")</f>
        <v>2</v>
      </c>
      <c r="F16" s="1" t="b" cm="1">
        <f t="array" ref="F16">AND(AND(_xlfn._xlws.FILTER(_xlfn._xlws.FILTER(Courses!$B$2:$N$46,IF(NOT(ISERROR(SEARCH(LEFT(B16,FIND(" ",B16)-1),Courses!$B$2:$B$46,1))),TRUE,FALSE)),{0,0,0,0,0,0,0,0,0,0,0,0,1})), C16&gt;5.99)</f>
        <v>0</v>
      </c>
      <c r="G16" s="1" cm="1">
        <f t="array" ref="G16">_xlfn.LET(
_xlpm.courses, _xlfn._xlws.FILTER(Courses!$B$2:$M$46, IF(NOT(ISERROR(SEARCH(LEFT(B16,FIND(" ",B16)-1),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6" s="1">
        <f t="shared" si="0"/>
        <v>0.4</v>
      </c>
      <c r="I16" s="1" cm="1">
        <f t="array" ref="I16">_xlfn.LET(
_xlpm.courses, _xlfn._xlws.FILTER(Courses!$B$2:$M$46, IF(NOT(ISERROR(SEARCH(LEFT(B16,FIND(" ",B16)-1),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6" s="1">
        <f t="shared" si="1"/>
        <v>0.33333333333333331</v>
      </c>
    </row>
    <row r="17" spans="2:10" x14ac:dyDescent="0.25">
      <c r="B17" s="19" t="s">
        <v>7</v>
      </c>
      <c r="C17" s="17" cm="1">
        <f t="array" ref="C17">_xlfn.LET(
_xlpm.courses, _xlfn._xlws.FILTER(Courses!$B$2:$E$46,IF(NOT(ISERROR(SEARCH(LEFT(B17,FIND(" ",B17)-1),Courses!$B$2:$B$46,1))),TRUE,FALSE)),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7" s="1" cm="1">
        <f t="array" ref="D17">SUM(
_xlfn._xlws.FILTER(
_xlfn._xlws.FILTER(Courses!$B$2:$E$46, IF(NOT(ISERROR(SEARCH(LEFT(B17,FIND(" ",B17)-1), Courses!$B$2:$B$46, 1))), TRUE, FALSE)),
{0,0,0,1})
)</f>
        <v>8</v>
      </c>
      <c r="E17" s="32" cm="1">
        <f t="array" ref="E17">_xlfn.XLOOKUP(1, --ISNUMBER(SEARCH(LEFT(B17,FIND(" ",B17)-1), Courses!$B$2:$B$46)), Courses!$M$2:$M$46, "no match")</f>
        <v>2</v>
      </c>
      <c r="F17" s="1" t="b" cm="1">
        <f t="array" ref="F17">AND(AND(_xlfn._xlws.FILTER(_xlfn._xlws.FILTER(Courses!$B$2:$N$46,IF(NOT(ISERROR(SEARCH(LEFT(B17,FIND(" ",B17)-1),Courses!$B$2:$B$46,1))),TRUE,FALSE)),{0,0,0,0,0,0,0,0,0,0,0,0,1})), C17&gt;5.99)</f>
        <v>0</v>
      </c>
      <c r="G17" s="1" cm="1">
        <f t="array" ref="G17">_xlfn.LET(
_xlpm.courses, _xlfn._xlws.FILTER(Courses!$B$2:$M$46, IF(NOT(ISERROR(SEARCH(LEFT(B17,FIND(" ",B17)-1),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7" s="1">
        <f t="shared" si="0"/>
        <v>0.4</v>
      </c>
      <c r="I17" s="1" cm="1">
        <f t="array" ref="I17">_xlfn.LET(
_xlpm.courses, _xlfn._xlws.FILTER(Courses!$B$2:$M$46, IF(NOT(ISERROR(SEARCH(LEFT(B17,FIND(" ",B17)-1),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7" s="1">
        <f t="shared" si="1"/>
        <v>0.33333333333333331</v>
      </c>
    </row>
    <row r="18" spans="2:10" x14ac:dyDescent="0.25">
      <c r="B18" s="19" t="s">
        <v>10</v>
      </c>
      <c r="C18" s="17" cm="1">
        <f t="array" ref="C18">_xlfn.LET(
_xlpm.courses, _xlfn._xlws.FILTER(Courses!$B$2:$E$46,IF(NOT(ISERROR(SEARCH(LEFT(B18,FIND(" ",B18)-1),Courses!$B$2:$B$46,1))),TRUE,FALSE)),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8" s="1" cm="1">
        <f t="array" ref="D18">SUM(
_xlfn._xlws.FILTER(
_xlfn._xlws.FILTER(Courses!$B$2:$E$46, IF(NOT(ISERROR(SEARCH(LEFT(B18,FIND(" ",B18)-1), Courses!$B$2:$B$46, 1))), TRUE, FALSE)),
{0,0,0,1})
)</f>
        <v>7</v>
      </c>
      <c r="E18" s="32" cm="1">
        <f t="array" ref="E18">_xlfn.XLOOKUP(1, --ISNUMBER(SEARCH(LEFT(B18,FIND(" ",B18)-1), Courses!$B$2:$B$46)), Courses!$M$2:$M$46, "no match")</f>
        <v>2</v>
      </c>
      <c r="F18" s="1" t="b" cm="1">
        <f t="array" ref="F18">AND(AND(_xlfn._xlws.FILTER(_xlfn._xlws.FILTER(Courses!$B$2:$N$46,IF(NOT(ISERROR(SEARCH(LEFT(B18,FIND(" ",B18)-1),Courses!$B$2:$B$46,1))),TRUE,FALSE)),{0,0,0,0,0,0,0,0,0,0,0,0,1})), C18&gt;5.99)</f>
        <v>0</v>
      </c>
      <c r="G18" s="1" cm="1">
        <f t="array" ref="G18">_xlfn.LET(
_xlpm.courses, _xlfn._xlws.FILTER(Courses!$B$2:$M$46, IF(NOT(ISERROR(SEARCH(LEFT(B18,FIND(" ",B18)-1),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8" s="1">
        <f t="shared" si="0"/>
        <v>0.35</v>
      </c>
      <c r="I18" s="1" cm="1">
        <f t="array" ref="I18">_xlfn.LET(
_xlpm.courses, _xlfn._xlws.FILTER(Courses!$B$2:$M$46, IF(NOT(ISERROR(SEARCH(LEFT(B18,FIND(" ",B18)-1),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8" s="1">
        <f t="shared" si="1"/>
        <v>0.29166666666666669</v>
      </c>
    </row>
    <row r="19" spans="2:10" x14ac:dyDescent="0.25">
      <c r="B19" s="19" t="s">
        <v>5</v>
      </c>
      <c r="C19" s="17" cm="1">
        <f t="array" ref="C19">_xlfn.LET(
_xlpm.courses, _xlfn._xlws.FILTER(Courses!$B$2:$E$46,IF(NOT(ISERROR(SEARCH(LEFT(B19,FIND(" ",B19)-1),Courses!$B$2:$B$46,1))),TRUE,FALSE)),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9" s="1" cm="1">
        <f t="array" ref="D19">SUM(
_xlfn._xlws.FILTER(
_xlfn._xlws.FILTER(Courses!$B$2:$E$46, IF(NOT(ISERROR(SEARCH(LEFT(B19,FIND(" ",B19)-1), Courses!$B$2:$B$46, 1))), TRUE, FALSE)),
{0,0,0,1})
)</f>
        <v>8</v>
      </c>
      <c r="E19" s="32" cm="1">
        <f t="array" ref="E19">_xlfn.XLOOKUP(1, --ISNUMBER(SEARCH(LEFT(B19,FIND(" ",B19)-1), Courses!$B$2:$B$46)), Courses!$M$2:$M$46, "no match")</f>
        <v>2</v>
      </c>
      <c r="F19" s="1" t="b" cm="1">
        <f t="array" ref="F19">AND(AND(_xlfn._xlws.FILTER(_xlfn._xlws.FILTER(Courses!$B$2:$N$46,IF(NOT(ISERROR(SEARCH(LEFT(B19,FIND(" ",B19)-1),Courses!$B$2:$B$46,1))),TRUE,FALSE)),{0,0,0,0,0,0,0,0,0,0,0,0,1})), C19&gt;5.99)</f>
        <v>0</v>
      </c>
      <c r="G19" s="1" cm="1">
        <f t="array" ref="G19">_xlfn.LET(
_xlpm.courses, _xlfn._xlws.FILTER(Courses!$B$2:$M$46, IF(NOT(ISERROR(SEARCH(LEFT(B19,FIND(" ",B19)-1),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9" s="1">
        <f t="shared" si="0"/>
        <v>0.4</v>
      </c>
      <c r="I19" s="1" cm="1">
        <f t="array" ref="I19">_xlfn.LET(
_xlpm.courses, _xlfn._xlws.FILTER(Courses!$B$2:$M$46, IF(NOT(ISERROR(SEARCH(LEFT(B19,FIND(" ",B19)-1),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19" s="1">
        <f t="shared" si="1"/>
        <v>0.33333333333333331</v>
      </c>
    </row>
    <row r="20" spans="2:10" x14ac:dyDescent="0.25">
      <c r="B20" s="1" t="s">
        <v>1</v>
      </c>
      <c r="C20" s="17" cm="1">
        <f t="array" ref="C20">_xlfn.LET(
_xlpm.courses, _xlfn._xlws.FILTER(Courses!$B$2:$E$46,IF(NOT(ISERROR(SEARCH(LEFT(B20,FIND(" ",B20)-1),Courses!$B$2:$B$46,1))),TRUE,FALSE)),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0" s="1" cm="1">
        <f t="array" ref="D20">SUM(
_xlfn._xlws.FILTER(
_xlfn._xlws.FILTER(Courses!$B$2:$E$46, IF(NOT(ISERROR(SEARCH(LEFT(B20,FIND(" ",B20)-1), Courses!$B$2:$B$46, 1))), TRUE, FALSE)),
{0,0,0,1})
)</f>
        <v>15</v>
      </c>
      <c r="E20" s="32" cm="1">
        <f t="array" ref="E20">_xlfn.XLOOKUP(1, --ISNUMBER(SEARCH(LEFT(B20,FIND(" ",B20)-1), Courses!$B$2:$B$46)), Courses!$M$2:$M$46, "no match")</f>
        <v>3</v>
      </c>
      <c r="F20" s="1" t="b" cm="1">
        <f t="array" ref="F20">AND(AND(_xlfn._xlws.FILTER(_xlfn._xlws.FILTER(Courses!$B$2:$N$46,IF(NOT(ISERROR(SEARCH(LEFT(B20,FIND(" ",B20)-1),Courses!$B$2:$B$46,1))),TRUE,FALSE)),{0,0,0,0,0,0,0,0,0,0,0,0,1})), C20&gt;5.99)</f>
        <v>0</v>
      </c>
      <c r="G20" s="1" cm="1">
        <f t="array" ref="G20">_xlfn.LET(
_xlpm.courses, _xlfn._xlws.FILTER(Courses!$B$2:$M$46, IF(NOT(ISERROR(SEARCH(LEFT(B20,FIND(" ",B20)-1),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0" s="1">
        <f t="shared" si="0"/>
        <v>0.75</v>
      </c>
      <c r="I20" s="1" cm="1">
        <f t="array" ref="I20">_xlfn.LET(
_xlpm.courses, _xlfn._xlws.FILTER(Courses!$B$2:$M$46, IF(NOT(ISERROR(SEARCH(LEFT(B20,FIND(" ",B20)-1),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0" s="1">
        <f t="shared" si="1"/>
        <v>0.625</v>
      </c>
    </row>
    <row r="21" spans="2:10" x14ac:dyDescent="0.25">
      <c r="B21" s="19" t="s">
        <v>15</v>
      </c>
      <c r="C21" s="17" cm="1">
        <f t="array" ref="C21">_xlfn.LET(
_xlpm.courses, _xlfn._xlws.FILTER(Courses!$B$2:$E$46,IF(NOT(ISERROR(SEARCH(LEFT(B21,FIND(" ",B21)-1),Courses!$B$2:$B$46,1))),TRUE,FALSE)),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1" s="1" cm="1">
        <f t="array" ref="D21">SUM(
_xlfn._xlws.FILTER(
_xlfn._xlws.FILTER(Courses!$B$2:$E$46, IF(NOT(ISERROR(SEARCH(LEFT(B21,FIND(" ",B21)-1), Courses!$B$2:$B$46, 1))), TRUE, FALSE)),
{0,0,0,1})
)</f>
        <v>6</v>
      </c>
      <c r="E21" s="32" cm="1">
        <f t="array" ref="E21">_xlfn.XLOOKUP(1, --ISNUMBER(SEARCH(LEFT(B21,FIND(" ",B21)-1), Courses!$B$2:$B$46)), Courses!$M$2:$M$46, "no match")</f>
        <v>3</v>
      </c>
      <c r="F21" s="1" t="b" cm="1">
        <f t="array" ref="F21">AND(AND(_xlfn._xlws.FILTER(_xlfn._xlws.FILTER(Courses!$B$2:$N$46,IF(NOT(ISERROR(SEARCH(LEFT(B21,FIND(" ",B21)-1),Courses!$B$2:$B$46,1))),TRUE,FALSE)),{0,0,0,0,0,0,0,0,0,0,0,0,1})), C21&gt;5.99)</f>
        <v>0</v>
      </c>
      <c r="G21" s="1" cm="1">
        <f t="array" ref="G21">_xlfn.LET(
_xlpm.courses, _xlfn._xlws.FILTER(Courses!$B$2:$M$46, IF(NOT(ISERROR(SEARCH(LEFT(B21,FIND(" ",B21)-1),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1" s="1">
        <f t="shared" si="0"/>
        <v>0.3</v>
      </c>
      <c r="I21" s="1" cm="1">
        <f t="array" ref="I21">_xlfn.LET(
_xlpm.courses, _xlfn._xlws.FILTER(Courses!$B$2:$M$46, IF(NOT(ISERROR(SEARCH(LEFT(B21,FIND(" ",B21)-1),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1" s="1">
        <f t="shared" si="1"/>
        <v>0.25</v>
      </c>
    </row>
    <row r="22" spans="2:10" x14ac:dyDescent="0.25">
      <c r="B22" s="19" t="s">
        <v>66</v>
      </c>
      <c r="C22" s="17" cm="1">
        <f t="array" ref="C22">_xlfn.LET(
_xlpm.courses, _xlfn._xlws.FILTER(Courses!$B$2:$E$46,IF(NOT(ISERROR(SEARCH(LEFT(B22,FIND(" ",B22)-1),Courses!$B$2:$B$46,1))),TRUE,FALSE)),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2" s="1" cm="1">
        <f t="array" ref="D22">SUM(
_xlfn._xlws.FILTER(
_xlfn._xlws.FILTER(Courses!$B$2:$E$46, IF(NOT(ISERROR(SEARCH(LEFT(B22,FIND(" ",B22)-1), Courses!$B$2:$B$46, 1))), TRUE, FALSE)),
{0,0,0,1})
)</f>
        <v>9</v>
      </c>
      <c r="E22" s="32" cm="1">
        <f t="array" ref="E22">_xlfn.XLOOKUP(1, --ISNUMBER(SEARCH(LEFT(B22,FIND(" ",B22)-1), Courses!$B$2:$B$46)), Courses!$M$2:$M$46, "no match")</f>
        <v>3</v>
      </c>
      <c r="F22" s="1" t="b" cm="1">
        <f t="array" ref="F22">AND(AND(_xlfn._xlws.FILTER(_xlfn._xlws.FILTER(Courses!$B$2:$N$46,IF(NOT(ISERROR(SEARCH(LEFT(B22,FIND(" ",B22)-1),Courses!$B$2:$B$46,1))),TRUE,FALSE)),{0,0,0,0,0,0,0,0,0,0,0,0,1})), C22&gt;5.99)</f>
        <v>0</v>
      </c>
      <c r="G22" s="1" cm="1">
        <f t="array" ref="G22">_xlfn.LET(
_xlpm.courses, _xlfn._xlws.FILTER(Courses!$B$2:$M$46, IF(NOT(ISERROR(SEARCH(LEFT(B22,FIND(" ",B22)-1),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2" s="1">
        <f t="shared" si="0"/>
        <v>0.45</v>
      </c>
      <c r="I22" s="1" cm="1">
        <f t="array" ref="I22">_xlfn.LET(
_xlpm.courses, _xlfn._xlws.FILTER(Courses!$B$2:$M$46, IF(NOT(ISERROR(SEARCH(LEFT(B22,FIND(" ",B22)-1),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2" s="1">
        <f t="shared" si="1"/>
        <v>0.375</v>
      </c>
    </row>
    <row r="23" spans="2:10" x14ac:dyDescent="0.25">
      <c r="B23" s="1" t="s">
        <v>20</v>
      </c>
      <c r="C23" s="17" cm="1">
        <f t="array" ref="C23">_xlfn.LET(
_xlpm.courses, _xlfn._xlws.FILTER(Courses!$B$2:$E$46,IF(NOT(ISERROR(SEARCH(LEFT(B23,FIND(" ",B23)-1),Courses!$B$2:$B$46,1))),TRUE,FALSE)),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3" s="1" cm="1">
        <f t="array" ref="D23">SUM(
_xlfn._xlws.FILTER(
_xlfn._xlws.FILTER(Courses!$B$2:$E$46, IF(NOT(ISERROR(SEARCH(LEFT(B23,FIND(" ",B23)-1), Courses!$B$2:$B$46, 1))), TRUE, FALSE)),
{0,0,0,1})
)</f>
        <v>3</v>
      </c>
      <c r="E23" s="14" t="str" cm="1">
        <f t="array" ref="E23">_xlfn.XLOOKUP(1, --ISNUMBER(SEARCH(LEFT(B23,FIND(" ",B23)-1), Courses!$B$2:$B$46)), Courses!$M$2:$M$46, "no match")</f>
        <v>Minor</v>
      </c>
      <c r="F23" s="1" t="b" cm="1">
        <f t="array" ref="F23">AND(AND(_xlfn._xlws.FILTER(_xlfn._xlws.FILTER(Courses!$B$2:$N$46,IF(NOT(ISERROR(SEARCH(LEFT(B23,FIND(" ",B23)-1),Courses!$B$2:$B$46,1))),TRUE,FALSE)),{0,0,0,0,0,0,0,0,0,0,0,0,1})), C23&gt;5.99)</f>
        <v>0</v>
      </c>
      <c r="G23" s="1" cm="1">
        <f t="array" ref="G23">_xlfn.LET(
_xlpm.courses, _xlfn._xlws.FILTER(Courses!$B$2:$M$46, IF(NOT(ISERROR(SEARCH(LEFT(B23,FIND(" ",B23)-1),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3" s="1">
        <f t="shared" si="0"/>
        <v>0.15</v>
      </c>
      <c r="I23" s="1" cm="1">
        <f t="array" ref="I23">_xlfn.LET(
_xlpm.courses, _xlfn._xlws.FILTER(Courses!$B$2:$M$46, IF(NOT(ISERROR(SEARCH(LEFT(B23,FIND(" ",B23)-1),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3" s="1">
        <f t="shared" si="1"/>
        <v>0.125</v>
      </c>
    </row>
    <row r="24" spans="2:10" x14ac:dyDescent="0.25">
      <c r="B24" s="1" t="s">
        <v>16</v>
      </c>
      <c r="C24" s="17" cm="1">
        <f t="array" ref="C24">_xlfn.LET(
_xlpm.courses, _xlfn._xlws.FILTER(Courses!$B$2:$E$46,IF(NOT(ISERROR(SEARCH(LEFT(B24,FIND(" ",B24)-1),Courses!$B$2:$B$46,1))),TRUE,FALSE)),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4" s="1" cm="1">
        <f t="array" ref="D24">SUM(
_xlfn._xlws.FILTER(
_xlfn._xlws.FILTER(Courses!$B$2:$E$46, IF(NOT(ISERROR(SEARCH(LEFT(B24,FIND(" ",B24)-1), Courses!$B$2:$B$46, 1))), TRUE, FALSE)),
{0,0,0,1})
)</f>
        <v>5</v>
      </c>
      <c r="E24" s="14" t="str" cm="1">
        <f t="array" ref="E24">_xlfn.XLOOKUP(1, --ISNUMBER(SEARCH(LEFT(B24,FIND(" ",B24)-1), Courses!$B$2:$B$46)), Courses!$M$2:$M$46, "no match")</f>
        <v>Minor</v>
      </c>
      <c r="F24" s="1" t="b" cm="1">
        <f t="array" ref="F24">AND(AND(_xlfn._xlws.FILTER(_xlfn._xlws.FILTER(Courses!$B$2:$N$46,IF(NOT(ISERROR(SEARCH(LEFT(B24,FIND(" ",B24)-1),Courses!$B$2:$B$46,1))),TRUE,FALSE)),{0,0,0,0,0,0,0,0,0,0,0,0,1})), C24&gt;5.99)</f>
        <v>0</v>
      </c>
      <c r="G24" s="1" cm="1">
        <f t="array" ref="G24">_xlfn.LET(
_xlpm.courses, _xlfn._xlws.FILTER(Courses!$B$2:$M$46, IF(NOT(ISERROR(SEARCH(LEFT(B24,FIND(" ",B24)-1),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4" s="1">
        <f>IF(ISNUMBER(G24), G24*D24/SUM($D$2:$D$28), 0)</f>
        <v>0.25</v>
      </c>
      <c r="I24" s="1" cm="1">
        <f t="array" ref="I24">_xlfn.LET(
_xlpm.courses, _xlfn._xlws.FILTER(Courses!$B$2:$M$46, IF(NOT(ISERROR(SEARCH(LEFT(B24,FIND(" ",B24)-1),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4" s="1">
        <f>IF(ISNUMBER(I24), I24*D24/SUM($D$2:$D$28), 0)</f>
        <v>0.20833333333333334</v>
      </c>
    </row>
    <row r="25" spans="2:10" x14ac:dyDescent="0.25">
      <c r="B25" s="1" t="s">
        <v>23</v>
      </c>
      <c r="C25" s="17" cm="1">
        <f t="array" ref="C25">_xlfn.LET(
_xlpm.courses, _xlfn._xlws.FILTER(Courses!$B$2:$E$46,IF(NOT(ISERROR(SEARCH(LEFT(B25,FIND(" ",B25)-1),Courses!$B$2:$B$46,1))),TRUE,FALSE)),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5" s="1" cm="1">
        <f t="array" ref="D25">SUM(
_xlfn._xlws.FILTER(
_xlfn._xlws.FILTER(Courses!$B$2:$E$46, IF(NOT(ISERROR(SEARCH(LEFT(B25,FIND(" ",B25)-1), Courses!$B$2:$B$46, 1))), TRUE, FALSE)),
{0,0,0,1})
)</f>
        <v>1</v>
      </c>
      <c r="E25" s="14" t="str" cm="1">
        <f t="array" ref="E25">_xlfn.XLOOKUP(1, --ISNUMBER(SEARCH(LEFT(B25,FIND(" ",B25)-1), Courses!$B$2:$B$46)), Courses!$M$2:$M$46, "no match")</f>
        <v>Minor</v>
      </c>
      <c r="F25" s="1" t="b" cm="1">
        <f t="array" ref="F25">AND(AND(_xlfn._xlws.FILTER(_xlfn._xlws.FILTER(Courses!$B$2:$N$46,IF(NOT(ISERROR(SEARCH(LEFT(B25,FIND(" ",B25)-1),Courses!$B$2:$B$46,1))),TRUE,FALSE)),{0,0,0,0,0,0,0,0,0,0,0,0,1})), C25&gt;5.99)</f>
        <v>0</v>
      </c>
      <c r="G25" s="1" cm="1">
        <f t="array" ref="G25">_xlfn.LET(
_xlpm.courses, _xlfn._xlws.FILTER(Courses!$B$2:$M$46, IF(NOT(ISERROR(SEARCH(LEFT(B25,FIND(" ",B25)-1),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5" s="1">
        <f t="shared" ref="H25:H28" si="2">IF(ISNUMBER(G25), G25*D25/SUM($D$2:$D$28), 0)</f>
        <v>0.05</v>
      </c>
      <c r="I25" s="1" cm="1">
        <f t="array" ref="I25">_xlfn.LET(
_xlpm.courses, _xlfn._xlws.FILTER(Courses!$B$2:$M$46, IF(NOT(ISERROR(SEARCH(LEFT(B25,FIND(" ",B25)-1),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5" s="1">
        <f t="shared" ref="J25:J28" si="3">IF(ISNUMBER(I25), I25*D25/SUM($D$2:$D$28), 0)</f>
        <v>4.1666666666666664E-2</v>
      </c>
    </row>
    <row r="26" spans="2:10" x14ac:dyDescent="0.25">
      <c r="B26" s="1" t="s">
        <v>0</v>
      </c>
      <c r="C26" s="17" cm="1">
        <f t="array" ref="C26">_xlfn.LET(
_xlpm.courses, _xlfn._xlws.FILTER(Courses!$B$2:$E$46,IF(NOT(ISERROR(SEARCH(LEFT(B26,FIND(" ",B26)-1),Courses!$B$2:$B$46,1))),TRUE,FALSE)),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6" s="1" cm="1">
        <f t="array" ref="D26">SUM(
_xlfn._xlws.FILTER(
_xlfn._xlws.FILTER(Courses!$B$2:$E$46, IF(NOT(ISERROR(SEARCH(LEFT(B26,FIND(" ",B26)-1), Courses!$B$2:$B$46, 1))), TRUE, FALSE)),
{0,0,0,1})
)</f>
        <v>15</v>
      </c>
      <c r="E26" s="14" t="str" cm="1">
        <f t="array" ref="E26">_xlfn.XLOOKUP(1, --ISNUMBER(SEARCH(LEFT(B26,FIND(" ",B26)-1), Courses!$B$2:$B$46)), Courses!$M$2:$M$46, "no match")</f>
        <v>Minor</v>
      </c>
      <c r="F26" s="1" t="b" cm="1">
        <f t="array" ref="F26">AND(AND(_xlfn._xlws.FILTER(_xlfn._xlws.FILTER(Courses!$B$2:$N$46,IF(NOT(ISERROR(SEARCH(LEFT(B26,FIND(" ",B26)-1),Courses!$B$2:$B$46,1))),TRUE,FALSE)),{0,0,0,0,0,0,0,0,0,0,0,0,1})), C26&gt;5.99)</f>
        <v>0</v>
      </c>
      <c r="G26" s="1" cm="1">
        <f t="array" ref="G26">_xlfn.LET(
_xlpm.courses, _xlfn._xlws.FILTER(Courses!$B$2:$M$46, IF(NOT(ISERROR(SEARCH(LEFT(B26,FIND(" ",B26)-1),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6" s="1">
        <f t="shared" si="2"/>
        <v>0.75</v>
      </c>
      <c r="I26" s="1" cm="1">
        <f t="array" ref="I26">_xlfn.LET(
_xlpm.courses, _xlfn._xlws.FILTER(Courses!$B$2:$M$46, IF(NOT(ISERROR(SEARCH(LEFT(B26,FIND(" ",B26)-1),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6" s="1">
        <f t="shared" si="3"/>
        <v>0.625</v>
      </c>
    </row>
    <row r="27" spans="2:10" x14ac:dyDescent="0.25">
      <c r="B27" s="1" t="s">
        <v>19</v>
      </c>
      <c r="C27" s="17" cm="1">
        <f t="array" ref="C27">_xlfn.LET(
_xlpm.courses, _xlfn._xlws.FILTER(Courses!$B$2:$E$46,IF(NOT(ISERROR(SEARCH(LEFT(B27,FIND(" ",B27)-1),Courses!$B$2:$B$46,1))),TRUE,FALSE)),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7" s="1" cm="1">
        <f t="array" ref="D27">SUM(
_xlfn._xlws.FILTER(
_xlfn._xlws.FILTER(Courses!$B$2:$E$46, IF(NOT(ISERROR(SEARCH(LEFT(B27,FIND(" ",B27)-1), Courses!$B$2:$B$46, 1))), TRUE, FALSE)),
{0,0,0,1})
)</f>
        <v>4</v>
      </c>
      <c r="E27" s="14" t="str" cm="1">
        <f t="array" ref="E27">_xlfn.XLOOKUP(1, --ISNUMBER(SEARCH(LEFT(B27,FIND(" ",B27)-1), Courses!$B$2:$B$46)), Courses!$M$2:$M$46, "no match")</f>
        <v>Minor</v>
      </c>
      <c r="F27" s="1" t="b" cm="1">
        <f t="array" ref="F27">AND(AND(_xlfn._xlws.FILTER(_xlfn._xlws.FILTER(Courses!$B$2:$N$46,IF(NOT(ISERROR(SEARCH(LEFT(B27,FIND(" ",B27)-1),Courses!$B$2:$B$46,1))),TRUE,FALSE)),{0,0,0,0,0,0,0,0,0,0,0,0,1})), C27&gt;5.99)</f>
        <v>0</v>
      </c>
      <c r="G27" s="1" cm="1">
        <f t="array" ref="G27">_xlfn.LET(
_xlpm.courses, _xlfn._xlws.FILTER(Courses!$B$2:$M$46, IF(NOT(ISERROR(SEARCH(LEFT(B27,FIND(" ",B27)-1),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7" s="1">
        <f t="shared" si="2"/>
        <v>0.2</v>
      </c>
      <c r="I27" s="1" cm="1">
        <f t="array" ref="I27">_xlfn.LET(
_xlpm.courses, _xlfn._xlws.FILTER(Courses!$B$2:$M$46, IF(NOT(ISERROR(SEARCH(LEFT(B27,FIND(" ",B27)-1),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7" s="1">
        <f t="shared" si="3"/>
        <v>0.16666666666666666</v>
      </c>
    </row>
    <row r="28" spans="2:10" x14ac:dyDescent="0.25">
      <c r="B28" s="1" t="s">
        <v>21</v>
      </c>
      <c r="C28" s="17" cm="1">
        <f t="array" ref="C28">_xlfn.LET(
_xlpm.courses, _xlfn._xlws.FILTER(Courses!$B$2:$E$46,IF(NOT(ISERROR(SEARCH(LEFT(B28,FIND(" ",B28)-1),Courses!$B$2:$B$46,1))),TRUE,FALSE)),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8" s="1" cm="1">
        <f t="array" ref="D28">SUM(
_xlfn._xlws.FILTER(
_xlfn._xlws.FILTER(Courses!$B$2:$E$46, IF(NOT(ISERROR(SEARCH(LEFT(B28,FIND(" ",B28)-1), Courses!$B$2:$B$46, 1))), TRUE, FALSE)),
{0,0,0,1})
)</f>
        <v>2</v>
      </c>
      <c r="E28" s="14" t="str" cm="1">
        <f t="array" ref="E28">_xlfn.XLOOKUP(1, --ISNUMBER(SEARCH(LEFT(B28,FIND(" ",B28)-1), Courses!$B$2:$B$46)), Courses!$M$2:$M$46, "no match")</f>
        <v>Minor</v>
      </c>
      <c r="F28" s="1" t="b" cm="1">
        <f t="array" ref="F28">AND(AND(_xlfn._xlws.FILTER(_xlfn._xlws.FILTER(Courses!$B$2:$N$46,IF(NOT(ISERROR(SEARCH(LEFT(B28,FIND(" ",B28)-1),Courses!$B$2:$B$46,1))),TRUE,FALSE)),{0,0,0,0,0,0,0,0,0,0,0,0,1})), C28&gt;5.99)</f>
        <v>0</v>
      </c>
      <c r="G28" s="1" cm="1">
        <f t="array" ref="G28">_xlfn.LET(
_xlpm.courses, _xlfn._xlws.FILTER(Courses!$B$2:$M$46, IF(NOT(ISERROR(SEARCH(LEFT(B28,FIND(" ",B28)-1),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8" s="1">
        <f t="shared" si="2"/>
        <v>0.1</v>
      </c>
      <c r="I28" s="1" cm="1">
        <f t="array" ref="I28">_xlfn.LET(
_xlpm.courses, _xlfn._xlws.FILTER(Courses!$B$2:$M$46, IF(NOT(ISERROR(SEARCH(LEFT(B28,FIND(" ",B28)-1),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7.5</v>
      </c>
      <c r="J28" s="1">
        <f t="shared" si="3"/>
        <v>8.3333333333333329E-2</v>
      </c>
    </row>
  </sheetData>
  <sortState xmlns:xlrd2="http://schemas.microsoft.com/office/spreadsheetml/2017/richdata2" ref="B2:J28">
    <sortCondition ref="E2:E28"/>
  </sortState>
  <conditionalFormatting sqref="E2:E28">
    <cfRule type="expression" dxfId="17" priority="4">
      <formula>$E2="Minor"</formula>
    </cfRule>
    <cfRule type="expression" dxfId="16" priority="5">
      <formula>$E2=1</formula>
    </cfRule>
    <cfRule type="expression" dxfId="15" priority="6">
      <formula>$E2=2</formula>
    </cfRule>
    <cfRule type="expression" dxfId="14" priority="7">
      <formula>$E2=3</formula>
    </cfRule>
  </conditionalFormatting>
  <conditionalFormatting sqref="F2:F28">
    <cfRule type="expression" dxfId="13" priority="2">
      <formula>F2=FALSE</formula>
    </cfRule>
    <cfRule type="expression" dxfId="12" priority="3">
      <formula>F2=TRUE</formula>
    </cfRule>
  </conditionalFormatting>
  <conditionalFormatting sqref="B2:C28">
    <cfRule type="expression" dxfId="11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6"/>
  <sheetViews>
    <sheetView zoomScale="85" zoomScaleNormal="85" workbookViewId="0">
      <selection activeCell="I11" sqref="I11:J40"/>
    </sheetView>
  </sheetViews>
  <sheetFormatPr defaultRowHeight="14.3" x14ac:dyDescent="0.25"/>
  <cols>
    <col min="1" max="1" width="3" style="1" customWidth="1"/>
    <col min="2" max="2" width="60.375" style="1" customWidth="1"/>
    <col min="3" max="3" width="8.25" style="1" customWidth="1"/>
    <col min="4" max="5" width="9" style="1"/>
    <col min="6" max="6" width="11.875" style="14" customWidth="1"/>
    <col min="7" max="7" width="12" style="1" customWidth="1"/>
    <col min="8" max="8" width="17.375" style="1" customWidth="1"/>
    <col min="9" max="9" width="26.25" style="1" customWidth="1"/>
    <col min="10" max="10" width="17.375" style="1" customWidth="1"/>
    <col min="11" max="11" width="26.25" style="1" customWidth="1"/>
    <col min="12" max="12" width="12" style="1" customWidth="1"/>
    <col min="13" max="13" width="11.875" style="1" customWidth="1"/>
    <col min="14" max="14" width="10.125" style="1" customWidth="1"/>
    <col min="15" max="16384" width="9" style="1"/>
  </cols>
  <sheetData>
    <row r="1" spans="1:14" x14ac:dyDescent="0.25">
      <c r="B1" s="3" t="s">
        <v>67</v>
      </c>
      <c r="C1" s="33" t="s">
        <v>59</v>
      </c>
      <c r="D1" s="33" t="s">
        <v>60</v>
      </c>
      <c r="E1" s="33" t="s">
        <v>25</v>
      </c>
      <c r="F1" s="33" t="s">
        <v>26</v>
      </c>
      <c r="G1" s="33" t="s">
        <v>68</v>
      </c>
      <c r="H1" s="33" t="s">
        <v>70</v>
      </c>
      <c r="I1" s="33" t="s">
        <v>102</v>
      </c>
      <c r="J1" s="33" t="s">
        <v>69</v>
      </c>
      <c r="K1" s="33" t="s">
        <v>103</v>
      </c>
      <c r="L1" s="33" t="s">
        <v>80</v>
      </c>
      <c r="M1" s="33" t="s">
        <v>61</v>
      </c>
      <c r="N1" s="33" t="s">
        <v>79</v>
      </c>
    </row>
    <row r="2" spans="1:14" x14ac:dyDescent="0.25">
      <c r="A2" s="25"/>
      <c r="B2" s="15" t="s">
        <v>48</v>
      </c>
      <c r="C2" s="35">
        <v>1</v>
      </c>
      <c r="D2"/>
      <c r="E2" s="35">
        <v>2</v>
      </c>
      <c r="F2" s="34" t="str">
        <f t="shared" ref="F2:F46" si="0">IF(OR(D2&lt;5,ISBLANK(D2)),"Pending","Definitive")</f>
        <v>Pending</v>
      </c>
      <c r="G2" s="36"/>
      <c r="H2" s="37">
        <v>9</v>
      </c>
      <c r="I2" s="35">
        <f>IF(
NOT(ISBLANK(D2)),
IF(
'Dashboard - Quarter'!$C$4=$C2,
IF(D2&gt;4.99,
IF(G2=1, H2, D2), H2),
IF(G2=1, H2, D2)
),
H2)</f>
        <v>9</v>
      </c>
      <c r="J2" s="37">
        <v>7.5</v>
      </c>
      <c r="K2" s="35">
        <f>IF(
NOT(ISBLANK(D2)),
IF(
'Dashboard - Quarter'!$C$4=$C2,
IF(D2&gt;4.99, IF(G2=1, J2, D2), J2),
IF(G2=1, J2, D2)
),
J2)</f>
        <v>7.5</v>
      </c>
      <c r="L2" s="35">
        <f>IF(OR(G2&gt;0, ISBLANK(D2)), E2*'Dashboard - Exams'!$G$6*K2/10, 0)</f>
        <v>42</v>
      </c>
      <c r="M2" s="26">
        <v>1</v>
      </c>
      <c r="N2" s="15" t="b">
        <f t="shared" ref="N2:N46" si="1">IF(D2&gt;4.99, TRUE, FALSE)</f>
        <v>0</v>
      </c>
    </row>
    <row r="3" spans="1:14" x14ac:dyDescent="0.25">
      <c r="A3" s="25"/>
      <c r="B3" s="15" t="s">
        <v>47</v>
      </c>
      <c r="C3" s="35">
        <v>1</v>
      </c>
      <c r="D3"/>
      <c r="E3" s="35">
        <v>3</v>
      </c>
      <c r="F3" s="34" t="str">
        <f t="shared" si="0"/>
        <v>Pending</v>
      </c>
      <c r="G3" s="36"/>
      <c r="H3" s="37">
        <v>9</v>
      </c>
      <c r="I3" s="35">
        <f>IF(
NOT(ISBLANK(D3)),
IF(
'Dashboard - Quarter'!$C$4=$C3,
IF(D3&gt;4.99,
IF(G3=1, H3, D3), H3),
IF(G3=1, H3, D3)
),
H3)</f>
        <v>9</v>
      </c>
      <c r="J3" s="37">
        <v>7.5</v>
      </c>
      <c r="K3" s="35">
        <f>IF(
NOT(ISBLANK(D3)),
IF(
'Dashboard - Quarter'!$C$4=$C3,
IF(D3&gt;4.99, IF(G3=1, J3, D3), J3),
IF(G3=1, J3, D3)
),
J3)</f>
        <v>7.5</v>
      </c>
      <c r="L3" s="35">
        <f>IF(OR(G3&gt;0, ISBLANK(D3)), E3*'Dashboard - Exams'!$G$6*K3/10, 0)</f>
        <v>63</v>
      </c>
      <c r="M3" s="26">
        <v>1</v>
      </c>
      <c r="N3" s="15" t="b">
        <f t="shared" si="1"/>
        <v>0</v>
      </c>
    </row>
    <row r="4" spans="1:14" x14ac:dyDescent="0.25">
      <c r="A4" s="25"/>
      <c r="B4" s="15" t="s">
        <v>63</v>
      </c>
      <c r="C4" s="35">
        <v>1</v>
      </c>
      <c r="D4"/>
      <c r="E4" s="35">
        <v>3</v>
      </c>
      <c r="F4" s="34" t="str">
        <f t="shared" si="0"/>
        <v>Pending</v>
      </c>
      <c r="G4" s="36"/>
      <c r="H4" s="37">
        <v>9</v>
      </c>
      <c r="I4" s="35">
        <f>IF(
NOT(ISBLANK(D4)),
IF(
'Dashboard - Quarter'!$C$4=$C4,
IF(D4&gt;4.99,
IF(G4=1, H4, D4), H4),
IF(G4=1, H4, D4)
),
H4)</f>
        <v>9</v>
      </c>
      <c r="J4" s="37">
        <v>7.5</v>
      </c>
      <c r="K4" s="35">
        <f>IF(
NOT(ISBLANK(D4)),
IF(
'Dashboard - Quarter'!$C$4=$C4,
IF(D4&gt;4.99, IF(G4=1, J4, D4), J4),
IF(G4=1, J4, D4)
),
J4)</f>
        <v>7.5</v>
      </c>
      <c r="L4" s="35">
        <f>IF(OR(G4&gt;0, ISBLANK(D4)), E4*'Dashboard - Exams'!$G$6*K4/10, 0)</f>
        <v>63</v>
      </c>
      <c r="M4" s="26">
        <v>1</v>
      </c>
      <c r="N4" s="15" t="b">
        <f t="shared" si="1"/>
        <v>0</v>
      </c>
    </row>
    <row r="5" spans="1:14" x14ac:dyDescent="0.25">
      <c r="A5" s="25"/>
      <c r="B5" s="15" t="s">
        <v>49</v>
      </c>
      <c r="C5" s="35">
        <v>1</v>
      </c>
      <c r="D5"/>
      <c r="E5" s="35">
        <v>4</v>
      </c>
      <c r="F5" s="34" t="str">
        <f t="shared" si="0"/>
        <v>Pending</v>
      </c>
      <c r="G5" s="36"/>
      <c r="H5" s="37">
        <v>9</v>
      </c>
      <c r="I5" s="35">
        <f>IF(
NOT(ISBLANK(D5)),
IF(
'Dashboard - Quarter'!$C$4=$C5,
IF(D5&gt;4.99,
IF(G5=1, H5, D5), H5),
IF(G5=1, H5, D5)
),
H5)</f>
        <v>9</v>
      </c>
      <c r="J5" s="37">
        <v>7.5</v>
      </c>
      <c r="K5" s="35">
        <f>IF(
NOT(ISBLANK(D5)),
IF(
'Dashboard - Quarter'!$C$4=$C5,
IF(D5&gt;4.99, IF(G5=1, J5, D5), J5),
IF(G5=1, J5, D5)
),
J5)</f>
        <v>7.5</v>
      </c>
      <c r="L5" s="35">
        <f>IF(OR(G5&gt;0, ISBLANK(D5)), E5*'Dashboard - Exams'!$G$6*K5/10, 0)</f>
        <v>84</v>
      </c>
      <c r="M5" s="26">
        <v>1</v>
      </c>
      <c r="N5" s="15" t="b">
        <f t="shared" si="1"/>
        <v>0</v>
      </c>
    </row>
    <row r="6" spans="1:14" x14ac:dyDescent="0.25">
      <c r="A6" s="25"/>
      <c r="B6" s="15" t="s">
        <v>77</v>
      </c>
      <c r="C6" s="35">
        <v>1</v>
      </c>
      <c r="D6"/>
      <c r="E6" s="35">
        <v>5</v>
      </c>
      <c r="F6" s="34" t="str">
        <f t="shared" si="0"/>
        <v>Pending</v>
      </c>
      <c r="G6" s="36"/>
      <c r="H6" s="37">
        <v>9</v>
      </c>
      <c r="I6" s="35">
        <f>IF(
NOT(ISBLANK(D6)),
IF(
'Dashboard - Quarter'!$C$4=$C6,
IF(D6&gt;4.99,
IF(G6=1, H6, D6), H6),
IF(G6=1, H6, D6)
),
H6)</f>
        <v>9</v>
      </c>
      <c r="J6" s="37">
        <v>7.5</v>
      </c>
      <c r="K6" s="35">
        <f>IF(
NOT(ISBLANK(D6)),
IF(
'Dashboard - Quarter'!$C$4=$C6,
IF(D6&gt;4.99, IF(G6=1, J6, D6), J6),
IF(G6=1, J6, D6)
),
J6)</f>
        <v>7.5</v>
      </c>
      <c r="L6" s="35">
        <f>IF(OR(G6&gt;0, ISBLANK(D6)), E6*'Dashboard - Exams'!$G$6*K6/10, 0)</f>
        <v>105</v>
      </c>
      <c r="M6" s="26">
        <v>1</v>
      </c>
      <c r="N6" s="15" t="b">
        <f t="shared" si="1"/>
        <v>0</v>
      </c>
    </row>
    <row r="7" spans="1:14" x14ac:dyDescent="0.25">
      <c r="A7" s="25"/>
      <c r="B7" s="15" t="s">
        <v>50</v>
      </c>
      <c r="C7" s="35">
        <v>2</v>
      </c>
      <c r="D7"/>
      <c r="E7" s="35">
        <v>3</v>
      </c>
      <c r="F7" s="34" t="str">
        <f t="shared" si="0"/>
        <v>Pending</v>
      </c>
      <c r="G7" s="36"/>
      <c r="H7" s="37">
        <v>9</v>
      </c>
      <c r="I7" s="35">
        <f>IF(
NOT(ISBLANK(D7)),
IF(
'Dashboard - Quarter'!$C$4=$C7,
IF(D7&gt;4.99,
IF(G7=1, H7, D7), H7),
IF(G7=1, H7, D7)
),
H7)</f>
        <v>9</v>
      </c>
      <c r="J7" s="37">
        <v>7.5</v>
      </c>
      <c r="K7" s="35">
        <f>IF(
NOT(ISBLANK(D7)),
IF(
'Dashboard - Quarter'!$C$4=$C7,
IF(D7&gt;4.99, IF(G7=1, J7, D7), J7),
IF(G7=1, J7, D7)
),
J7)</f>
        <v>7.5</v>
      </c>
      <c r="L7" s="35">
        <f>IF(OR(G7&gt;0, ISBLANK(D7)), E7*'Dashboard - Exams'!$G$6*K7/10, 0)</f>
        <v>63</v>
      </c>
      <c r="M7" s="26">
        <v>1</v>
      </c>
      <c r="N7" s="15" t="b">
        <f t="shared" si="1"/>
        <v>0</v>
      </c>
    </row>
    <row r="8" spans="1:14" x14ac:dyDescent="0.25">
      <c r="A8" s="25"/>
      <c r="B8" s="15" t="s">
        <v>52</v>
      </c>
      <c r="C8" s="35">
        <v>2</v>
      </c>
      <c r="D8"/>
      <c r="E8" s="35">
        <v>3</v>
      </c>
      <c r="F8" s="34" t="str">
        <f t="shared" si="0"/>
        <v>Pending</v>
      </c>
      <c r="G8" s="36"/>
      <c r="H8" s="37">
        <v>9</v>
      </c>
      <c r="I8" s="35">
        <f>IF(
NOT(ISBLANK(D8)),
IF(
'Dashboard - Quarter'!$C$4=$C8,
IF(D8&gt;4.99,
IF(G8=1, H8, D8), H8),
IF(G8=1, H8, D8)
),
H8)</f>
        <v>9</v>
      </c>
      <c r="J8" s="37">
        <v>7.5</v>
      </c>
      <c r="K8" s="35">
        <f>IF(
NOT(ISBLANK(D8)),
IF(
'Dashboard - Quarter'!$C$4=$C8,
IF(D8&gt;4.99, IF(G8=1, J8, D8), J8),
IF(G8=1, J8, D8)
),
J8)</f>
        <v>7.5</v>
      </c>
      <c r="L8" s="35">
        <f>IF(OR(G8&gt;0, ISBLANK(D8)), E8*'Dashboard - Exams'!$G$6*K8/10, 0)</f>
        <v>63</v>
      </c>
      <c r="M8" s="26">
        <v>1</v>
      </c>
      <c r="N8" s="15" t="b">
        <f t="shared" si="1"/>
        <v>0</v>
      </c>
    </row>
    <row r="9" spans="1:14" x14ac:dyDescent="0.25">
      <c r="A9" s="25"/>
      <c r="B9" s="15" t="s">
        <v>62</v>
      </c>
      <c r="C9" s="35">
        <v>2</v>
      </c>
      <c r="D9"/>
      <c r="E9" s="35">
        <v>3</v>
      </c>
      <c r="F9" s="34" t="str">
        <f t="shared" si="0"/>
        <v>Pending</v>
      </c>
      <c r="G9" s="36"/>
      <c r="H9" s="37">
        <v>9</v>
      </c>
      <c r="I9" s="35">
        <f>IF(
NOT(ISBLANK(D9)),
IF(
'Dashboard - Quarter'!$C$4=$C9,
IF(D9&gt;4.99,
IF(G9=1, H9, D9), H9),
IF(G9=1, H9, D9)
),
H9)</f>
        <v>9</v>
      </c>
      <c r="J9" s="37">
        <v>7.5</v>
      </c>
      <c r="K9" s="35">
        <f>IF(
NOT(ISBLANK(D9)),
IF(
'Dashboard - Quarter'!$C$4=$C9,
IF(D9&gt;4.99, IF(G9=1, J9, D9), J9),
IF(G9=1, J9, D9)
),
J9)</f>
        <v>7.5</v>
      </c>
      <c r="L9" s="35">
        <f>IF(OR(G9&gt;0, ISBLANK(D9)), E9*'Dashboard - Exams'!$G$6*K9/10, 0)</f>
        <v>63</v>
      </c>
      <c r="M9" s="26">
        <v>1</v>
      </c>
      <c r="N9" s="15" t="b">
        <f t="shared" si="1"/>
        <v>0</v>
      </c>
    </row>
    <row r="10" spans="1:14" x14ac:dyDescent="0.25">
      <c r="A10" s="25"/>
      <c r="B10" s="15" t="s">
        <v>51</v>
      </c>
      <c r="C10" s="35">
        <v>2</v>
      </c>
      <c r="D10"/>
      <c r="E10" s="35">
        <v>4</v>
      </c>
      <c r="F10" s="34" t="str">
        <f t="shared" si="0"/>
        <v>Pending</v>
      </c>
      <c r="G10" s="36"/>
      <c r="H10" s="37">
        <v>9</v>
      </c>
      <c r="I10" s="35">
        <f>IF(
NOT(ISBLANK(D10)),
IF(
'Dashboard - Quarter'!$C$4=$C10,
IF(D10&gt;4.99,
IF(G10=1, H10, D10), H10),
IF(G10=1, H10, D10)
),
H10)</f>
        <v>9</v>
      </c>
      <c r="J10" s="37">
        <v>7.5</v>
      </c>
      <c r="K10" s="35">
        <f>IF(
NOT(ISBLANK(D10)),
IF(
'Dashboard - Quarter'!$C$4=$C10,
IF(D10&gt;4.99, IF(G10=1, J10, D10), J10),
IF(G10=1, J10, D10)
),
J10)</f>
        <v>7.5</v>
      </c>
      <c r="L10" s="35">
        <f>IF(OR(G10&gt;0, ISBLANK(D10)), E10*'Dashboard - Exams'!$G$6*K10/10, 0)</f>
        <v>84</v>
      </c>
      <c r="M10" s="26">
        <v>1</v>
      </c>
      <c r="N10" s="15" t="b">
        <f t="shared" si="1"/>
        <v>0</v>
      </c>
    </row>
    <row r="11" spans="1:14" x14ac:dyDescent="0.25">
      <c r="A11" s="25"/>
      <c r="B11" s="15" t="s">
        <v>53</v>
      </c>
      <c r="C11" s="35">
        <v>3</v>
      </c>
      <c r="D11"/>
      <c r="E11" s="35">
        <v>3</v>
      </c>
      <c r="F11" s="34" t="str">
        <f t="shared" si="0"/>
        <v>Pending</v>
      </c>
      <c r="G11" s="36"/>
      <c r="H11" s="37">
        <v>9</v>
      </c>
      <c r="I11" s="35">
        <f>IF(
NOT(ISBLANK(D11)),
IF(
'Dashboard - Quarter'!$C$4=$C11,
IF(D11&gt;4.99,
IF(G11=1, H11, D11), H11),
IF(G11=1, H11, D11)
),
H11)</f>
        <v>9</v>
      </c>
      <c r="J11" s="37">
        <v>7.5</v>
      </c>
      <c r="K11" s="35">
        <f>IF(
NOT(ISBLANK(D11)),
IF(
'Dashboard - Quarter'!$C$4=$C11,
IF(D11&gt;4.99, IF(G11=1, J11, D11), J11),
IF(G11=1, J11, D11)
),
J11)</f>
        <v>7.5</v>
      </c>
      <c r="L11" s="35">
        <f>IF(OR(G11&gt;0, ISBLANK(D11)), E11*'Dashboard - Exams'!$G$6*K11/10, 0)</f>
        <v>63</v>
      </c>
      <c r="M11" s="26">
        <v>1</v>
      </c>
      <c r="N11" s="15" t="b">
        <f t="shared" si="1"/>
        <v>0</v>
      </c>
    </row>
    <row r="12" spans="1:14" x14ac:dyDescent="0.25">
      <c r="A12" s="25"/>
      <c r="B12" s="15" t="s">
        <v>55</v>
      </c>
      <c r="C12" s="35">
        <v>3</v>
      </c>
      <c r="D12"/>
      <c r="E12" s="35">
        <v>4</v>
      </c>
      <c r="F12" s="34" t="str">
        <f t="shared" si="0"/>
        <v>Pending</v>
      </c>
      <c r="G12" s="36"/>
      <c r="H12" s="37">
        <v>9</v>
      </c>
      <c r="I12" s="35">
        <f>IF(
NOT(ISBLANK(D12)),
IF(
'Dashboard - Quarter'!$C$4=$C12,
IF(D12&gt;4.99,
IF(G12=1, H12, D12), H12),
IF(G12=1, H12, D12)
),
H12)</f>
        <v>9</v>
      </c>
      <c r="J12" s="37">
        <v>7.5</v>
      </c>
      <c r="K12" s="35">
        <f>IF(
NOT(ISBLANK(D12)),
IF(
'Dashboard - Quarter'!$C$4=$C12,
IF(D12&gt;4.99, IF(G12=1, J12, D12), J12),
IF(G12=1, J12, D12)
),
J12)</f>
        <v>7.5</v>
      </c>
      <c r="L12" s="35">
        <f>IF(OR(G12&gt;0, ISBLANK(D12)), E12*'Dashboard - Exams'!$G$6*K12/10, 0)</f>
        <v>84</v>
      </c>
      <c r="M12" s="26">
        <v>1</v>
      </c>
      <c r="N12" s="15" t="b">
        <f t="shared" si="1"/>
        <v>0</v>
      </c>
    </row>
    <row r="13" spans="1:14" x14ac:dyDescent="0.25">
      <c r="A13" s="25"/>
      <c r="B13" s="15" t="s">
        <v>54</v>
      </c>
      <c r="C13" s="35">
        <v>3</v>
      </c>
      <c r="D13"/>
      <c r="E13" s="35">
        <v>5</v>
      </c>
      <c r="F13" s="34" t="str">
        <f t="shared" si="0"/>
        <v>Pending</v>
      </c>
      <c r="G13" s="36"/>
      <c r="H13" s="37">
        <v>9</v>
      </c>
      <c r="I13" s="35">
        <f>IF(
NOT(ISBLANK(D13)),
IF(
'Dashboard - Quarter'!$C$4=$C13,
IF(D13&gt;4.99,
IF(G13=1, H13, D13), H13),
IF(G13=1, H13, D13)
),
H13)</f>
        <v>9</v>
      </c>
      <c r="J13" s="37">
        <v>7.5</v>
      </c>
      <c r="K13" s="35">
        <f>IF(
NOT(ISBLANK(D13)),
IF(
'Dashboard - Quarter'!$C$4=$C13,
IF(D13&gt;4.99, IF(G13=1, J13, D13), J13),
IF(G13=1, J13, D13)
),
J13)</f>
        <v>7.5</v>
      </c>
      <c r="L13" s="35">
        <f>IF(OR(G13&gt;0, ISBLANK(D13)), E13*'Dashboard - Exams'!$G$6*K13/10, 0)</f>
        <v>105</v>
      </c>
      <c r="M13" s="26">
        <v>1</v>
      </c>
      <c r="N13" s="15" t="b">
        <f t="shared" si="1"/>
        <v>0</v>
      </c>
    </row>
    <row r="14" spans="1:14" x14ac:dyDescent="0.25">
      <c r="A14" s="25"/>
      <c r="B14" s="15" t="s">
        <v>101</v>
      </c>
      <c r="C14" s="35">
        <v>3</v>
      </c>
      <c r="D14"/>
      <c r="E14" s="35">
        <v>5</v>
      </c>
      <c r="F14" s="34" t="str">
        <f t="shared" si="0"/>
        <v>Pending</v>
      </c>
      <c r="G14" s="36"/>
      <c r="H14" s="37">
        <v>9</v>
      </c>
      <c r="I14" s="35">
        <f>IF(
NOT(ISBLANK(D14)),
IF(
'Dashboard - Quarter'!$C$4=$C14,
IF(D14&gt;4.99,
IF(G14=1, H14, D14), H14),
IF(G14=1, H14, D14)
),
H14)</f>
        <v>9</v>
      </c>
      <c r="J14" s="37">
        <v>7.5</v>
      </c>
      <c r="K14" s="35">
        <f>IF(
NOT(ISBLANK(D14)),
IF(
'Dashboard - Quarter'!$C$4=$C14,
IF(D14&gt;4.99, IF(G14=1, J14, D14), J14),
IF(G14=1, J14, D14)
),
J14)</f>
        <v>7.5</v>
      </c>
      <c r="L14" s="35">
        <f>IF(OR(G14&gt;0, ISBLANK(D14)), E14*'Dashboard - Exams'!$G$6*K14/10, 0)</f>
        <v>105</v>
      </c>
      <c r="M14" s="26">
        <v>1</v>
      </c>
      <c r="N14" s="15" t="b">
        <f t="shared" si="1"/>
        <v>0</v>
      </c>
    </row>
    <row r="15" spans="1:14" x14ac:dyDescent="0.25">
      <c r="A15" s="25"/>
      <c r="B15" s="15" t="s">
        <v>22</v>
      </c>
      <c r="C15" s="35">
        <v>4</v>
      </c>
      <c r="D15"/>
      <c r="E15" s="35">
        <v>2</v>
      </c>
      <c r="F15" s="34" t="str">
        <f t="shared" si="0"/>
        <v>Pending</v>
      </c>
      <c r="G15" s="36"/>
      <c r="H15" s="37">
        <v>9</v>
      </c>
      <c r="I15" s="35">
        <f>IF(
NOT(ISBLANK(D15)),
IF(
'Dashboard - Quarter'!$C$4=$C15,
IF(D15&gt;4.99,
IF(G15=1, H15, D15), H15),
IF(G15=1, H15, D15)
),
H15)</f>
        <v>9</v>
      </c>
      <c r="J15" s="37">
        <v>7.5</v>
      </c>
      <c r="K15" s="35">
        <f>IF(
NOT(ISBLANK(D15)),
IF(
'Dashboard - Quarter'!$C$4=$C15,
IF(D15&gt;4.99, IF(G15=1, J15, D15), J15),
IF(G15=1, J15, D15)
),
J15)</f>
        <v>7.5</v>
      </c>
      <c r="L15" s="35">
        <f>IF(OR(G15&gt;0, ISBLANK(D15)), E15*'Dashboard - Exams'!$G$6*K15/10, 0)</f>
        <v>42</v>
      </c>
      <c r="M15" s="26">
        <v>1</v>
      </c>
      <c r="N15" s="15" t="b">
        <f t="shared" si="1"/>
        <v>0</v>
      </c>
    </row>
    <row r="16" spans="1:14" x14ac:dyDescent="0.25">
      <c r="A16" s="25"/>
      <c r="B16" s="15" t="s">
        <v>56</v>
      </c>
      <c r="C16" s="35">
        <v>4</v>
      </c>
      <c r="D16"/>
      <c r="E16" s="35">
        <v>3</v>
      </c>
      <c r="F16" s="34" t="str">
        <f t="shared" si="0"/>
        <v>Pending</v>
      </c>
      <c r="G16" s="36"/>
      <c r="H16" s="37">
        <v>9</v>
      </c>
      <c r="I16" s="35">
        <f>IF(
NOT(ISBLANK(D16)),
IF(
'Dashboard - Quarter'!$C$4=$C16,
IF(D16&gt;4.99,
IF(G16=1, H16, D16), H16),
IF(G16=1, H16, D16)
),
H16)</f>
        <v>9</v>
      </c>
      <c r="J16" s="37">
        <v>7.5</v>
      </c>
      <c r="K16" s="35">
        <f>IF(
NOT(ISBLANK(D16)),
IF(
'Dashboard - Quarter'!$C$4=$C16,
IF(D16&gt;4.99, IF(G16=1, J16, D16), J16),
IF(G16=1, J16, D16)
),
J16)</f>
        <v>7.5</v>
      </c>
      <c r="L16" s="35">
        <f>IF(OR(G16&gt;0, ISBLANK(D16)), E16*'Dashboard - Exams'!$G$6*K16/10, 0)</f>
        <v>63</v>
      </c>
      <c r="M16" s="26">
        <v>1</v>
      </c>
      <c r="N16" s="15" t="b">
        <f t="shared" si="1"/>
        <v>0</v>
      </c>
    </row>
    <row r="17" spans="1:14" x14ac:dyDescent="0.25">
      <c r="A17" s="25"/>
      <c r="B17" s="15" t="s">
        <v>57</v>
      </c>
      <c r="C17" s="35">
        <v>4</v>
      </c>
      <c r="D17"/>
      <c r="E17" s="35">
        <v>3</v>
      </c>
      <c r="F17" s="34" t="str">
        <f t="shared" si="0"/>
        <v>Pending</v>
      </c>
      <c r="G17" s="36"/>
      <c r="H17" s="37">
        <v>9</v>
      </c>
      <c r="I17" s="35">
        <f>IF(
NOT(ISBLANK(D17)),
IF(
'Dashboard - Quarter'!$C$4=$C17,
IF(D17&gt;4.99,
IF(G17=1, H17, D17), H17),
IF(G17=1, H17, D17)
),
H17)</f>
        <v>9</v>
      </c>
      <c r="J17" s="37">
        <v>7.5</v>
      </c>
      <c r="K17" s="35">
        <f>IF(
NOT(ISBLANK(D17)),
IF(
'Dashboard - Quarter'!$C$4=$C17,
IF(D17&gt;4.99, IF(G17=1, J17, D17), J17),
IF(G17=1, J17, D17)
),
J17)</f>
        <v>7.5</v>
      </c>
      <c r="L17" s="35">
        <f>IF(OR(G17&gt;0, ISBLANK(D17)), E17*'Dashboard - Exams'!$G$6*K17/10, 0)</f>
        <v>63</v>
      </c>
      <c r="M17" s="26">
        <v>1</v>
      </c>
      <c r="N17" s="15" t="b">
        <f t="shared" si="1"/>
        <v>0</v>
      </c>
    </row>
    <row r="18" spans="1:14" x14ac:dyDescent="0.25">
      <c r="A18" s="25"/>
      <c r="B18" s="15" t="s">
        <v>18</v>
      </c>
      <c r="C18" s="35">
        <v>4</v>
      </c>
      <c r="D18"/>
      <c r="E18" s="35">
        <v>5</v>
      </c>
      <c r="F18" s="34" t="str">
        <f t="shared" si="0"/>
        <v>Pending</v>
      </c>
      <c r="G18" s="36"/>
      <c r="H18" s="37">
        <v>9</v>
      </c>
      <c r="I18" s="35">
        <f>IF(
NOT(ISBLANK(D18)),
IF(
'Dashboard - Quarter'!$C$4=$C18,
IF(D18&gt;4.99,
IF(G18=1, H18, D18), H18),
IF(G18=1, H18, D18)
),
H18)</f>
        <v>9</v>
      </c>
      <c r="J18" s="37">
        <v>7.5</v>
      </c>
      <c r="K18" s="35">
        <f>IF(
NOT(ISBLANK(D18)),
IF(
'Dashboard - Quarter'!$C$4=$C18,
IF(D18&gt;4.99, IF(G18=1, J18, D18), J18),
IF(G18=1, J18, D18)
),
J18)</f>
        <v>7.5</v>
      </c>
      <c r="L18" s="35">
        <f>IF(OR(G18&gt;0, ISBLANK(D18)), E18*'Dashboard - Exams'!$G$6*K18/10, 0)</f>
        <v>105</v>
      </c>
      <c r="M18" s="26">
        <v>1</v>
      </c>
      <c r="N18" s="15" t="b">
        <f t="shared" si="1"/>
        <v>0</v>
      </c>
    </row>
    <row r="19" spans="1:14" x14ac:dyDescent="0.25">
      <c r="A19" s="25"/>
      <c r="B19" s="15" t="s">
        <v>32</v>
      </c>
      <c r="C19" s="35">
        <v>1</v>
      </c>
      <c r="D19"/>
      <c r="E19" s="35">
        <v>3</v>
      </c>
      <c r="F19" s="34" t="str">
        <f t="shared" si="0"/>
        <v>Pending</v>
      </c>
      <c r="G19" s="36"/>
      <c r="H19" s="37">
        <v>9</v>
      </c>
      <c r="I19" s="35">
        <f>IF(
NOT(ISBLANK(D19)),
IF(
'Dashboard - Quarter'!$C$4=$C19,
IF(D19&gt;4.99,
IF(G19=1, H19, D19), H19),
IF(G19=1, H19, D19)
),
H19)</f>
        <v>9</v>
      </c>
      <c r="J19" s="37">
        <v>7.5</v>
      </c>
      <c r="K19" s="35">
        <f>IF(
NOT(ISBLANK(D19)),
IF(
'Dashboard - Quarter'!$C$4=$C19,
IF(D19&gt;4.99, IF(G19=1, J19, D19), J19),
IF(G19=1, J19, D19)
),
J19)</f>
        <v>7.5</v>
      </c>
      <c r="L19" s="35">
        <f>IF(OR(G19&gt;0, ISBLANK(D19)), E19*'Dashboard - Exams'!$G$6*K19/10, 0)</f>
        <v>63</v>
      </c>
      <c r="M19" s="26">
        <v>2</v>
      </c>
      <c r="N19" s="15" t="b">
        <f t="shared" si="1"/>
        <v>0</v>
      </c>
    </row>
    <row r="20" spans="1:14" x14ac:dyDescent="0.25">
      <c r="A20" s="25"/>
      <c r="B20" s="15" t="s">
        <v>34</v>
      </c>
      <c r="C20" s="35">
        <v>1</v>
      </c>
      <c r="D20"/>
      <c r="E20" s="35">
        <v>3</v>
      </c>
      <c r="F20" s="34" t="str">
        <f t="shared" si="0"/>
        <v>Pending</v>
      </c>
      <c r="G20" s="36"/>
      <c r="H20" s="37">
        <v>9</v>
      </c>
      <c r="I20" s="35">
        <f>IF(
NOT(ISBLANK(D20)),
IF(
'Dashboard - Quarter'!$C$4=$C20,
IF(D20&gt;4.99,
IF(G20=1, H20, D20), H20),
IF(G20=1, H20, D20)
),
H20)</f>
        <v>9</v>
      </c>
      <c r="J20" s="37">
        <v>7.5</v>
      </c>
      <c r="K20" s="35">
        <f>IF(
NOT(ISBLANK(D20)),
IF(
'Dashboard - Quarter'!$C$4=$C20,
IF(D20&gt;4.99, IF(G20=1, J20, D20), J20),
IF(G20=1, J20, D20)
),
J20)</f>
        <v>7.5</v>
      </c>
      <c r="L20" s="35">
        <f>IF(OR(G20&gt;0, ISBLANK(D20)), E20*'Dashboard - Exams'!$G$6*K20/10, 0)</f>
        <v>63</v>
      </c>
      <c r="M20" s="26">
        <v>2</v>
      </c>
      <c r="N20" s="15" t="b">
        <f t="shared" si="1"/>
        <v>0</v>
      </c>
    </row>
    <row r="21" spans="1:14" x14ac:dyDescent="0.25">
      <c r="A21" s="25"/>
      <c r="B21" s="15" t="s">
        <v>64</v>
      </c>
      <c r="C21" s="35">
        <v>1</v>
      </c>
      <c r="D21"/>
      <c r="E21" s="35">
        <v>4</v>
      </c>
      <c r="F21" s="34" t="str">
        <f t="shared" si="0"/>
        <v>Pending</v>
      </c>
      <c r="G21" s="36"/>
      <c r="H21" s="37">
        <v>9</v>
      </c>
      <c r="I21" s="35">
        <f>IF(
NOT(ISBLANK(D21)),
IF(
'Dashboard - Quarter'!$C$4=$C21,
IF(D21&gt;4.99,
IF(G21=1, H21, D21), H21),
IF(G21=1, H21, D21)
),
H21)</f>
        <v>9</v>
      </c>
      <c r="J21" s="37">
        <v>7.5</v>
      </c>
      <c r="K21" s="35">
        <f>IF(
NOT(ISBLANK(D21)),
IF(
'Dashboard - Quarter'!$C$4=$C21,
IF(D21&gt;4.99, IF(G21=1, J21, D21), J21),
IF(G21=1, J21, D21)
),
J21)</f>
        <v>7.5</v>
      </c>
      <c r="L21" s="35">
        <f>IF(OR(G21&gt;0, ISBLANK(D21)), E21*'Dashboard - Exams'!$G$6*K21/10, 0)</f>
        <v>84</v>
      </c>
      <c r="M21" s="26">
        <v>2</v>
      </c>
      <c r="N21" s="15" t="b">
        <f t="shared" si="1"/>
        <v>0</v>
      </c>
    </row>
    <row r="22" spans="1:14" x14ac:dyDescent="0.25">
      <c r="A22" s="25"/>
      <c r="B22" s="15" t="s">
        <v>65</v>
      </c>
      <c r="C22" s="35">
        <v>1</v>
      </c>
      <c r="D22"/>
      <c r="E22" s="35">
        <v>4</v>
      </c>
      <c r="F22" s="34" t="str">
        <f t="shared" si="0"/>
        <v>Pending</v>
      </c>
      <c r="G22" s="36"/>
      <c r="H22" s="37">
        <v>9</v>
      </c>
      <c r="I22" s="35">
        <f>IF(
NOT(ISBLANK(D22)),
IF(
'Dashboard - Quarter'!$C$4=$C22,
IF(D22&gt;4.99,
IF(G22=1, H22, D22), H22),
IF(G22=1, H22, D22)
),
H22)</f>
        <v>9</v>
      </c>
      <c r="J22" s="37">
        <v>7.5</v>
      </c>
      <c r="K22" s="35">
        <f>IF(
NOT(ISBLANK(D22)),
IF(
'Dashboard - Quarter'!$C$4=$C22,
IF(D22&gt;4.99, IF(G22=1, J22, D22), J22),
IF(G22=1, J22, D22)
),
J22)</f>
        <v>7.5</v>
      </c>
      <c r="L22" s="35">
        <f>IF(OR(G22&gt;0, ISBLANK(D22)), E22*'Dashboard - Exams'!$G$6*K22/10, 0)</f>
        <v>84</v>
      </c>
      <c r="M22" s="26">
        <v>2</v>
      </c>
      <c r="N22" s="15" t="b">
        <f t="shared" si="1"/>
        <v>0</v>
      </c>
    </row>
    <row r="23" spans="1:14" x14ac:dyDescent="0.25">
      <c r="A23" s="25"/>
      <c r="B23" s="15" t="s">
        <v>31</v>
      </c>
      <c r="C23" s="35">
        <v>1</v>
      </c>
      <c r="D23"/>
      <c r="E23" s="35">
        <v>5</v>
      </c>
      <c r="F23" s="34" t="str">
        <f t="shared" si="0"/>
        <v>Pending</v>
      </c>
      <c r="G23" s="36"/>
      <c r="H23" s="37">
        <v>9</v>
      </c>
      <c r="I23" s="35">
        <f>IF(
NOT(ISBLANK(D23)),
IF(
'Dashboard - Quarter'!$C$4=$C23,
IF(D23&gt;4.99,
IF(G23=1, H23, D23), H23),
IF(G23=1, H23, D23)
),
H23)</f>
        <v>9</v>
      </c>
      <c r="J23" s="37">
        <v>7.5</v>
      </c>
      <c r="K23" s="35">
        <f>IF(
NOT(ISBLANK(D23)),
IF(
'Dashboard - Quarter'!$C$4=$C23,
IF(D23&gt;4.99, IF(G23=1, J23, D23), J23),
IF(G23=1, J23, D23)
),
J23)</f>
        <v>7.5</v>
      </c>
      <c r="L23" s="35">
        <f>IF(OR(G23&gt;0, ISBLANK(D23)), E23*'Dashboard - Exams'!$G$6*K23/10, 0)</f>
        <v>105</v>
      </c>
      <c r="M23" s="26">
        <v>2</v>
      </c>
      <c r="N23" s="15" t="b">
        <f t="shared" si="1"/>
        <v>0</v>
      </c>
    </row>
    <row r="24" spans="1:14" x14ac:dyDescent="0.25">
      <c r="A24" s="25"/>
      <c r="B24" s="15" t="s">
        <v>35</v>
      </c>
      <c r="C24" s="35">
        <v>2</v>
      </c>
      <c r="D24"/>
      <c r="E24" s="35">
        <v>1</v>
      </c>
      <c r="F24" s="34" t="str">
        <f t="shared" si="0"/>
        <v>Pending</v>
      </c>
      <c r="G24" s="36"/>
      <c r="H24" s="37">
        <v>9</v>
      </c>
      <c r="I24" s="35">
        <f>IF(
NOT(ISBLANK(D24)),
IF(
'Dashboard - Quarter'!$C$4=$C24,
IF(D24&gt;4.99,
IF(G24=1, H24, D24), H24),
IF(G24=1, H24, D24)
),
H24)</f>
        <v>9</v>
      </c>
      <c r="J24" s="37">
        <v>7.5</v>
      </c>
      <c r="K24" s="35">
        <f>IF(
NOT(ISBLANK(D24)),
IF(
'Dashboard - Quarter'!$C$4=$C24,
IF(D24&gt;4.99, IF(G24=1, J24, D24), J24),
IF(G24=1, J24, D24)
),
J24)</f>
        <v>7.5</v>
      </c>
      <c r="L24" s="35">
        <f>IF(OR(G24&gt;0, ISBLANK(D24)), E24*'Dashboard - Exams'!$G$6*K24/10, 0)</f>
        <v>21</v>
      </c>
      <c r="M24" s="26">
        <v>2</v>
      </c>
      <c r="N24" s="15" t="b">
        <f t="shared" si="1"/>
        <v>0</v>
      </c>
    </row>
    <row r="25" spans="1:14" x14ac:dyDescent="0.25">
      <c r="A25" s="25"/>
      <c r="B25" s="15" t="s">
        <v>36</v>
      </c>
      <c r="C25" s="35">
        <v>2</v>
      </c>
      <c r="D25"/>
      <c r="E25" s="35">
        <v>3</v>
      </c>
      <c r="F25" s="34" t="str">
        <f t="shared" si="0"/>
        <v>Pending</v>
      </c>
      <c r="G25" s="36"/>
      <c r="H25" s="37">
        <v>9</v>
      </c>
      <c r="I25" s="35">
        <f>IF(
NOT(ISBLANK(D25)),
IF(
'Dashboard - Quarter'!$C$4=$C25,
IF(D25&gt;4.99,
IF(G25=1, H25, D25), H25),
IF(G25=1, H25, D25)
),
H25)</f>
        <v>9</v>
      </c>
      <c r="J25" s="37">
        <v>7.5</v>
      </c>
      <c r="K25" s="35">
        <f>IF(
NOT(ISBLANK(D25)),
IF(
'Dashboard - Quarter'!$C$4=$C25,
IF(D25&gt;4.99, IF(G25=1, J25, D25), J25),
IF(G25=1, J25, D25)
),
J25)</f>
        <v>7.5</v>
      </c>
      <c r="L25" s="35">
        <f>IF(OR(G25&gt;0, ISBLANK(D25)), E25*'Dashboard - Exams'!$G$6*K25/10, 0)</f>
        <v>63</v>
      </c>
      <c r="M25" s="26">
        <v>2</v>
      </c>
      <c r="N25" s="15" t="b">
        <f t="shared" si="1"/>
        <v>0</v>
      </c>
    </row>
    <row r="26" spans="1:14" x14ac:dyDescent="0.25">
      <c r="A26" s="25"/>
      <c r="B26" s="15" t="s">
        <v>38</v>
      </c>
      <c r="C26" s="35">
        <v>2</v>
      </c>
      <c r="D26"/>
      <c r="E26" s="35">
        <v>3</v>
      </c>
      <c r="F26" s="34" t="str">
        <f t="shared" si="0"/>
        <v>Pending</v>
      </c>
      <c r="G26" s="36"/>
      <c r="H26" s="37">
        <v>9</v>
      </c>
      <c r="I26" s="35">
        <f>IF(
NOT(ISBLANK(D26)),
IF(
'Dashboard - Quarter'!$C$4=$C26,
IF(D26&gt;4.99,
IF(G26=1, H26, D26), H26),
IF(G26=1, H26, D26)
),
H26)</f>
        <v>9</v>
      </c>
      <c r="J26" s="37">
        <v>7.5</v>
      </c>
      <c r="K26" s="35">
        <f>IF(
NOT(ISBLANK(D26)),
IF(
'Dashboard - Quarter'!$C$4=$C26,
IF(D26&gt;4.99, IF(G26=1, J26, D26), J26),
IF(G26=1, J26, D26)
),
J26)</f>
        <v>7.5</v>
      </c>
      <c r="L26" s="35">
        <f>IF(OR(G26&gt;0, ISBLANK(D26)), E26*'Dashboard - Exams'!$G$6*K26/10, 0)</f>
        <v>63</v>
      </c>
      <c r="M26" s="26">
        <v>2</v>
      </c>
      <c r="N26" s="15" t="b">
        <f t="shared" si="1"/>
        <v>0</v>
      </c>
    </row>
    <row r="27" spans="1:14" x14ac:dyDescent="0.25">
      <c r="A27" s="25"/>
      <c r="B27" s="15" t="s">
        <v>37</v>
      </c>
      <c r="C27" s="35">
        <v>2</v>
      </c>
      <c r="D27"/>
      <c r="E27" s="35">
        <v>5</v>
      </c>
      <c r="F27" s="34" t="str">
        <f t="shared" si="0"/>
        <v>Pending</v>
      </c>
      <c r="G27" s="36"/>
      <c r="H27" s="37">
        <v>9</v>
      </c>
      <c r="I27" s="35">
        <f>IF(
NOT(ISBLANK(D27)),
IF(
'Dashboard - Quarter'!$C$4=$C27,
IF(D27&gt;4.99,
IF(G27=1, H27, D27), H27),
IF(G27=1, H27, D27)
),
H27)</f>
        <v>9</v>
      </c>
      <c r="J27" s="37">
        <v>7.5</v>
      </c>
      <c r="K27" s="35">
        <f>IF(
NOT(ISBLANK(D27)),
IF(
'Dashboard - Quarter'!$C$4=$C27,
IF(D27&gt;4.99, IF(G27=1, J27, D27), J27),
IF(G27=1, J27, D27)
),
J27)</f>
        <v>7.5</v>
      </c>
      <c r="L27" s="35">
        <f>IF(OR(G27&gt;0, ISBLANK(D27)), E27*'Dashboard - Exams'!$G$6*K27/10, 0)</f>
        <v>105</v>
      </c>
      <c r="M27" s="26">
        <v>2</v>
      </c>
      <c r="N27" s="15" t="b">
        <f t="shared" si="1"/>
        <v>0</v>
      </c>
    </row>
    <row r="28" spans="1:14" x14ac:dyDescent="0.25">
      <c r="A28" s="25"/>
      <c r="B28" s="15" t="s">
        <v>43</v>
      </c>
      <c r="C28" s="35">
        <v>3</v>
      </c>
      <c r="D28"/>
      <c r="E28" s="35">
        <v>3</v>
      </c>
      <c r="F28" s="34" t="str">
        <f t="shared" si="0"/>
        <v>Pending</v>
      </c>
      <c r="G28" s="36"/>
      <c r="H28" s="37">
        <v>9</v>
      </c>
      <c r="I28" s="35">
        <f>IF(
NOT(ISBLANK(D28)),
IF(
'Dashboard - Quarter'!$C$4=$C28,
IF(D28&gt;4.99,
IF(G28=1, H28, D28), H28),
IF(G28=1, H28, D28)
),
H28)</f>
        <v>9</v>
      </c>
      <c r="J28" s="37">
        <v>7.5</v>
      </c>
      <c r="K28" s="35">
        <f>IF(
NOT(ISBLANK(D28)),
IF(
'Dashboard - Quarter'!$C$4=$C28,
IF(D28&gt;4.99, IF(G28=1, J28, D28), J28),
IF(G28=1, J28, D28)
),
J28)</f>
        <v>7.5</v>
      </c>
      <c r="L28" s="35">
        <f>IF(OR(G28&gt;0, ISBLANK(D28)), E28*'Dashboard - Exams'!$G$6*K28/10, 0)</f>
        <v>63</v>
      </c>
      <c r="M28" s="26">
        <v>2</v>
      </c>
      <c r="N28" s="15" t="b">
        <f t="shared" si="1"/>
        <v>0</v>
      </c>
    </row>
    <row r="29" spans="1:14" x14ac:dyDescent="0.25">
      <c r="A29" s="25"/>
      <c r="B29" s="15" t="s">
        <v>42</v>
      </c>
      <c r="C29" s="38">
        <v>3</v>
      </c>
      <c r="D29"/>
      <c r="E29" s="35">
        <v>4</v>
      </c>
      <c r="F29" s="34" t="str">
        <f t="shared" si="0"/>
        <v>Pending</v>
      </c>
      <c r="G29" s="36"/>
      <c r="H29" s="37">
        <v>9</v>
      </c>
      <c r="I29" s="35">
        <f>IF(
NOT(ISBLANK(D29)),
IF(
'Dashboard - Quarter'!$C$4=$C29,
IF(D29&gt;4.99,
IF(G29=1, H29, D29), H29),
IF(G29=1, H29, D29)
),
H29)</f>
        <v>9</v>
      </c>
      <c r="J29" s="37">
        <v>7.5</v>
      </c>
      <c r="K29" s="35">
        <f>IF(
NOT(ISBLANK(D29)),
IF(
'Dashboard - Quarter'!$C$4=$C29,
IF(D29&gt;4.99, IF(G29=1, J29, D29), J29),
IF(G29=1, J29, D29)
),
J29)</f>
        <v>7.5</v>
      </c>
      <c r="L29" s="35">
        <f>IF(OR(G29&gt;0, ISBLANK(D29)), E29*'Dashboard - Exams'!$G$6*K29/10, 0)</f>
        <v>84</v>
      </c>
      <c r="M29" s="26">
        <v>2</v>
      </c>
      <c r="N29" s="15" t="b">
        <f t="shared" si="1"/>
        <v>0</v>
      </c>
    </row>
    <row r="30" spans="1:14" x14ac:dyDescent="0.25">
      <c r="A30" s="25"/>
      <c r="B30" s="15" t="s">
        <v>40</v>
      </c>
      <c r="C30" s="35">
        <v>3</v>
      </c>
      <c r="D30"/>
      <c r="E30" s="35">
        <v>5</v>
      </c>
      <c r="F30" s="34" t="str">
        <f t="shared" si="0"/>
        <v>Pending</v>
      </c>
      <c r="G30" s="36"/>
      <c r="H30" s="37">
        <v>9</v>
      </c>
      <c r="I30" s="35">
        <f>IF(
NOT(ISBLANK(D30)),
IF(
'Dashboard - Quarter'!$C$4=$C30,
IF(D30&gt;4.99,
IF(G30=1, H30, D30), H30),
IF(G30=1, H30, D30)
),
H30)</f>
        <v>9</v>
      </c>
      <c r="J30" s="37">
        <v>7.5</v>
      </c>
      <c r="K30" s="35">
        <f>IF(
NOT(ISBLANK(D30)),
IF(
'Dashboard - Quarter'!$C$4=$C30,
IF(D30&gt;4.99, IF(G30=1, J30, D30), J30),
IF(G30=1, J30, D30)
),
J30)</f>
        <v>7.5</v>
      </c>
      <c r="L30" s="35">
        <f>IF(OR(G30&gt;0, ISBLANK(D30)), E30*'Dashboard - Exams'!$G$6*K30/10, 0)</f>
        <v>105</v>
      </c>
      <c r="M30" s="26">
        <v>2</v>
      </c>
      <c r="N30" s="15" t="b">
        <f t="shared" si="1"/>
        <v>0</v>
      </c>
    </row>
    <row r="31" spans="1:14" x14ac:dyDescent="0.25">
      <c r="A31" s="25"/>
      <c r="B31" s="15" t="s">
        <v>39</v>
      </c>
      <c r="C31" s="35">
        <v>4</v>
      </c>
      <c r="D31"/>
      <c r="E31" s="35">
        <v>3</v>
      </c>
      <c r="F31" s="34" t="str">
        <f t="shared" si="0"/>
        <v>Pending</v>
      </c>
      <c r="G31" s="36"/>
      <c r="H31" s="37">
        <v>9</v>
      </c>
      <c r="I31" s="35">
        <f>IF(
NOT(ISBLANK(D31)),
IF(
'Dashboard - Quarter'!$C$4=$C31,
IF(D31&gt;4.99,
IF(G31=1, H31, D31), H31),
IF(G31=1, H31, D31)
),
H31)</f>
        <v>9</v>
      </c>
      <c r="J31" s="37">
        <v>7.5</v>
      </c>
      <c r="K31" s="35">
        <f>IF(
NOT(ISBLANK(D31)),
IF(
'Dashboard - Quarter'!$C$4=$C31,
IF(D31&gt;4.99, IF(G31=1, J31, D31), J31),
IF(G31=1, J31, D31)
),
J31)</f>
        <v>7.5</v>
      </c>
      <c r="L31" s="35">
        <f>IF(OR(G31&gt;0, ISBLANK(D31)), E31*'Dashboard - Exams'!$G$6*K31/10, 0)</f>
        <v>63</v>
      </c>
      <c r="M31" s="26">
        <v>2</v>
      </c>
      <c r="N31" s="15" t="b">
        <f t="shared" si="1"/>
        <v>0</v>
      </c>
    </row>
    <row r="32" spans="1:14" x14ac:dyDescent="0.25">
      <c r="A32" s="25"/>
      <c r="B32" s="15" t="s">
        <v>44</v>
      </c>
      <c r="C32" s="35">
        <v>4</v>
      </c>
      <c r="D32"/>
      <c r="E32" s="35">
        <v>3</v>
      </c>
      <c r="F32" s="34" t="str">
        <f t="shared" si="0"/>
        <v>Pending</v>
      </c>
      <c r="G32" s="36"/>
      <c r="H32" s="37">
        <v>9</v>
      </c>
      <c r="I32" s="35">
        <f>IF(
NOT(ISBLANK(D32)),
IF(
'Dashboard - Quarter'!$C$4=$C32,
IF(D32&gt;4.99,
IF(G32=1, H32, D32), H32),
IF(G32=1, H32, D32)
),
H32)</f>
        <v>9</v>
      </c>
      <c r="J32" s="37">
        <v>7.5</v>
      </c>
      <c r="K32" s="35">
        <f>IF(
NOT(ISBLANK(D32)),
IF(
'Dashboard - Quarter'!$C$4=$C32,
IF(D32&gt;4.99, IF(G32=1, J32, D32), J32),
IF(G32=1, J32, D32)
),
J32)</f>
        <v>7.5</v>
      </c>
      <c r="L32" s="35">
        <f>IF(OR(G32&gt;0, ISBLANK(D32)), E32*'Dashboard - Exams'!$G$6*K32/10, 0)</f>
        <v>63</v>
      </c>
      <c r="M32" s="26">
        <v>2</v>
      </c>
      <c r="N32" s="15" t="b">
        <f t="shared" si="1"/>
        <v>0</v>
      </c>
    </row>
    <row r="33" spans="1:14" x14ac:dyDescent="0.25">
      <c r="A33" s="25"/>
      <c r="B33" s="15" t="s">
        <v>46</v>
      </c>
      <c r="C33" s="35">
        <v>4</v>
      </c>
      <c r="D33"/>
      <c r="E33" s="35">
        <v>3</v>
      </c>
      <c r="F33" s="34" t="str">
        <f t="shared" si="0"/>
        <v>Pending</v>
      </c>
      <c r="G33" s="36"/>
      <c r="H33" s="37">
        <v>9</v>
      </c>
      <c r="I33" s="35">
        <f>IF(
NOT(ISBLANK(D33)),
IF(
'Dashboard - Quarter'!$C$4=$C33,
IF(D33&gt;4.99,
IF(G33=1, H33, D33), H33),
IF(G33=1, H33, D33)
),
H33)</f>
        <v>9</v>
      </c>
      <c r="J33" s="37">
        <v>7.5</v>
      </c>
      <c r="K33" s="35">
        <f>IF(
NOT(ISBLANK(D33)),
IF(
'Dashboard - Quarter'!$C$4=$C33,
IF(D33&gt;4.99, IF(G33=1, J33, D33), J33),
IF(G33=1, J33, D33)
),
J33)</f>
        <v>7.5</v>
      </c>
      <c r="L33" s="35">
        <f>IF(OR(G33&gt;0, ISBLANK(D33)), E33*'Dashboard - Exams'!$G$6*K33/10, 0)</f>
        <v>63</v>
      </c>
      <c r="M33" s="26">
        <v>2</v>
      </c>
      <c r="N33" s="15" t="b">
        <f t="shared" si="1"/>
        <v>0</v>
      </c>
    </row>
    <row r="34" spans="1:14" x14ac:dyDescent="0.25">
      <c r="A34" s="25"/>
      <c r="B34" s="16" t="s">
        <v>41</v>
      </c>
      <c r="C34" s="38">
        <v>4</v>
      </c>
      <c r="D34"/>
      <c r="E34" s="35">
        <v>4</v>
      </c>
      <c r="F34" s="34" t="str">
        <f t="shared" si="0"/>
        <v>Pending</v>
      </c>
      <c r="G34" s="36"/>
      <c r="H34" s="37">
        <v>9</v>
      </c>
      <c r="I34" s="35">
        <f>IF(
NOT(ISBLANK(D34)),
IF(
'Dashboard - Quarter'!$C$4=$C34,
IF(D34&gt;4.99,
IF(G34=1, H34, D34), H34),
IF(G34=1, H34, D34)
),
H34)</f>
        <v>9</v>
      </c>
      <c r="J34" s="37">
        <v>7.5</v>
      </c>
      <c r="K34" s="35">
        <f>IF(
NOT(ISBLANK(D34)),
IF(
'Dashboard - Quarter'!$C$4=$C34,
IF(D34&gt;4.99, IF(G34=1, J34, D34), J34),
IF(G34=1, J34, D34)
),
J34)</f>
        <v>7.5</v>
      </c>
      <c r="L34" s="35">
        <f>IF(OR(G34&gt;0, ISBLANK(D34)), E34*'Dashboard - Exams'!$G$6*K34/10, 0)</f>
        <v>84</v>
      </c>
      <c r="M34" s="26">
        <v>2</v>
      </c>
      <c r="N34" s="15" t="b">
        <f t="shared" si="1"/>
        <v>0</v>
      </c>
    </row>
    <row r="35" spans="1:14" x14ac:dyDescent="0.25">
      <c r="A35" s="25"/>
      <c r="B35" s="15" t="s">
        <v>45</v>
      </c>
      <c r="C35" s="35">
        <v>4</v>
      </c>
      <c r="D35"/>
      <c r="E35" s="35">
        <v>4</v>
      </c>
      <c r="F35" s="34" t="str">
        <f t="shared" si="0"/>
        <v>Pending</v>
      </c>
      <c r="G35" s="36"/>
      <c r="H35" s="37">
        <v>9</v>
      </c>
      <c r="I35" s="35">
        <f>IF(
NOT(ISBLANK(D35)),
IF(
'Dashboard - Quarter'!$C$4=$C35,
IF(D35&gt;4.99,
IF(G35=1, H35, D35), H35),
IF(G35=1, H35, D35)
),
H35)</f>
        <v>9</v>
      </c>
      <c r="J35" s="37">
        <v>7.5</v>
      </c>
      <c r="K35" s="35">
        <f>IF(
NOT(ISBLANK(D35)),
IF(
'Dashboard - Quarter'!$C$4=$C35,
IF(D35&gt;4.99, IF(G35=1, J35, D35), J35),
IF(G35=1, J35, D35)
),
J35)</f>
        <v>7.5</v>
      </c>
      <c r="L35" s="35">
        <f>IF(OR(G35&gt;0, ISBLANK(D35)), E35*'Dashboard - Exams'!$G$6*K35/10, 0)</f>
        <v>84</v>
      </c>
      <c r="M35" s="26">
        <v>2</v>
      </c>
      <c r="N35" s="15" t="b">
        <f t="shared" si="1"/>
        <v>0</v>
      </c>
    </row>
    <row r="36" spans="1:14" x14ac:dyDescent="0.25">
      <c r="A36" s="25"/>
      <c r="B36" s="15" t="s">
        <v>1</v>
      </c>
      <c r="C36" s="35">
        <v>2</v>
      </c>
      <c r="D36"/>
      <c r="E36" s="35">
        <v>15</v>
      </c>
      <c r="F36" s="34" t="str">
        <f t="shared" si="0"/>
        <v>Pending</v>
      </c>
      <c r="G36" s="36"/>
      <c r="H36" s="37">
        <v>9</v>
      </c>
      <c r="I36" s="35">
        <f>IF(
NOT(ISBLANK(D36)),
IF(
'Dashboard - Quarter'!$C$4=$C36,
IF(D36&gt;4.99,
IF(G36=1, H36, D36), H36),
IF(G36=1, H36, D36)
),
H36)</f>
        <v>9</v>
      </c>
      <c r="J36" s="37">
        <v>7.5</v>
      </c>
      <c r="K36" s="35">
        <f>IF(
NOT(ISBLANK(D36)),
IF(
'Dashboard - Quarter'!$C$4=$C36,
IF(D36&gt;4.99, IF(G36=1, J36, D36), J36),
IF(G36=1, J36, D36)
),
J36)</f>
        <v>7.5</v>
      </c>
      <c r="L36" s="35">
        <f>IF(OR(G36&gt;0, ISBLANK(D36)), E36*'Dashboard - Exams'!$G$6*K36/10, 0)</f>
        <v>315</v>
      </c>
      <c r="M36" s="26">
        <v>3</v>
      </c>
      <c r="N36" s="15" t="b">
        <f t="shared" si="1"/>
        <v>0</v>
      </c>
    </row>
    <row r="37" spans="1:14" x14ac:dyDescent="0.25">
      <c r="A37" s="25"/>
      <c r="B37" s="15" t="s">
        <v>29</v>
      </c>
      <c r="C37" s="35">
        <v>3</v>
      </c>
      <c r="D37"/>
      <c r="E37" s="35">
        <v>3</v>
      </c>
      <c r="F37" s="34" t="str">
        <f t="shared" si="0"/>
        <v>Pending</v>
      </c>
      <c r="G37" s="36"/>
      <c r="H37" s="37">
        <v>9</v>
      </c>
      <c r="I37" s="35">
        <f>IF(
NOT(ISBLANK(D37)),
IF(
'Dashboard - Quarter'!$C$4=$C37,
IF(D37&gt;4.99,
IF(G37=1, H37, D37), H37),
IF(G37=1, H37, D37)
),
H37)</f>
        <v>9</v>
      </c>
      <c r="J37" s="37">
        <v>7.5</v>
      </c>
      <c r="K37" s="35">
        <f>IF(
NOT(ISBLANK(D37)),
IF(
'Dashboard - Quarter'!$C$4=$C37,
IF(D37&gt;4.99, IF(G37=1, J37, D37), J37),
IF(G37=1, J37, D37)
),
J37)</f>
        <v>7.5</v>
      </c>
      <c r="L37" s="35">
        <f>IF(OR(G37&gt;0, ISBLANK(D37)), E37*'Dashboard - Exams'!$G$6*K37/10, 0)</f>
        <v>63</v>
      </c>
      <c r="M37" s="26">
        <v>3</v>
      </c>
      <c r="N37" s="15" t="b">
        <f t="shared" si="1"/>
        <v>0</v>
      </c>
    </row>
    <row r="38" spans="1:14" x14ac:dyDescent="0.25">
      <c r="A38" s="25"/>
      <c r="B38" s="15" t="s">
        <v>30</v>
      </c>
      <c r="C38" s="35">
        <v>3</v>
      </c>
      <c r="D38"/>
      <c r="E38" s="35">
        <v>3</v>
      </c>
      <c r="F38" s="34" t="str">
        <f t="shared" si="0"/>
        <v>Pending</v>
      </c>
      <c r="G38" s="36"/>
      <c r="H38" s="37">
        <v>9</v>
      </c>
      <c r="I38" s="35">
        <f>IF(
NOT(ISBLANK(D38)),
IF(
'Dashboard - Quarter'!$C$4=$C38,
IF(D38&gt;4.99,
IF(G38=1, H38, D38), H38),
IF(G38=1, H38, D38)
),
H38)</f>
        <v>9</v>
      </c>
      <c r="J38" s="37">
        <v>7.5</v>
      </c>
      <c r="K38" s="35">
        <f>IF(
NOT(ISBLANK(D38)),
IF(
'Dashboard - Quarter'!$C$4=$C38,
IF(D38&gt;4.99, IF(G38=1, J38, D38), J38),
IF(G38=1, J38, D38)
),
J38)</f>
        <v>7.5</v>
      </c>
      <c r="L38" s="35">
        <f>IF(OR(G38&gt;0, ISBLANK(D38)), E38*'Dashboard - Exams'!$G$6*K38/10, 0)</f>
        <v>63</v>
      </c>
      <c r="M38" s="26">
        <v>3</v>
      </c>
      <c r="N38" s="15" t="b">
        <f t="shared" si="1"/>
        <v>0</v>
      </c>
    </row>
    <row r="39" spans="1:14" x14ac:dyDescent="0.25">
      <c r="A39" s="25"/>
      <c r="B39" s="15" t="s">
        <v>28</v>
      </c>
      <c r="C39" s="35">
        <v>3</v>
      </c>
      <c r="D39"/>
      <c r="E39" s="35">
        <v>4</v>
      </c>
      <c r="F39" s="34" t="str">
        <f t="shared" si="0"/>
        <v>Pending</v>
      </c>
      <c r="G39" s="36"/>
      <c r="H39" s="37">
        <v>9</v>
      </c>
      <c r="I39" s="35">
        <f>IF(
NOT(ISBLANK(D39)),
IF(
'Dashboard - Quarter'!$C$4=$C39,
IF(D39&gt;4.99,
IF(G39=1, H39, D39), H39),
IF(G39=1, H39, D39)
),
H39)</f>
        <v>9</v>
      </c>
      <c r="J39" s="37">
        <v>7.5</v>
      </c>
      <c r="K39" s="35">
        <f>IF(
NOT(ISBLANK(D39)),
IF(
'Dashboard - Quarter'!$C$4=$C39,
IF(D39&gt;4.99, IF(G39=1, J39, D39), J39),
IF(G39=1, J39, D39)
),
J39)</f>
        <v>7.5</v>
      </c>
      <c r="L39" s="35">
        <f>IF(OR(G39&gt;0, ISBLANK(D39)), E39*'Dashboard - Exams'!$G$6*K39/10, 0)</f>
        <v>84</v>
      </c>
      <c r="M39" s="26">
        <v>3</v>
      </c>
      <c r="N39" s="15" t="b">
        <f t="shared" si="1"/>
        <v>0</v>
      </c>
    </row>
    <row r="40" spans="1:14" x14ac:dyDescent="0.25">
      <c r="A40" s="25"/>
      <c r="B40" s="15" t="s">
        <v>27</v>
      </c>
      <c r="C40" s="35">
        <v>3</v>
      </c>
      <c r="D40"/>
      <c r="E40" s="35">
        <v>5</v>
      </c>
      <c r="F40" s="34" t="str">
        <f t="shared" si="0"/>
        <v>Pending</v>
      </c>
      <c r="G40" s="36"/>
      <c r="H40" s="37">
        <v>9</v>
      </c>
      <c r="I40" s="35">
        <f>IF(
NOT(ISBLANK(D40)),
IF(
'Dashboard - Quarter'!$C$4=$C40,
IF(D40&gt;4.99,
IF(G40=1, H40, D40), H40),
IF(G40=1, H40, D40)
),
H40)</f>
        <v>9</v>
      </c>
      <c r="J40" s="37">
        <v>7.5</v>
      </c>
      <c r="K40" s="35">
        <f>IF(
NOT(ISBLANK(D40)),
IF(
'Dashboard - Quarter'!$C$4=$C40,
IF(D40&gt;4.99, IF(G40=1, J40, D40), J40),
IF(G40=1, J40, D40)
),
J40)</f>
        <v>7.5</v>
      </c>
      <c r="L40" s="35">
        <f>IF(OR(G40&gt;0, ISBLANK(D40)), E40*'Dashboard - Exams'!$G$6*K40/10, 0)</f>
        <v>105</v>
      </c>
      <c r="M40" s="26">
        <v>3</v>
      </c>
      <c r="N40" s="15" t="b">
        <f t="shared" si="1"/>
        <v>0</v>
      </c>
    </row>
    <row r="41" spans="1:14" x14ac:dyDescent="0.25">
      <c r="A41" s="25"/>
      <c r="B41" s="15" t="s">
        <v>23</v>
      </c>
      <c r="C41" s="35">
        <v>1</v>
      </c>
      <c r="D41"/>
      <c r="E41" s="35">
        <v>1</v>
      </c>
      <c r="F41" s="34" t="str">
        <f t="shared" si="0"/>
        <v>Pending</v>
      </c>
      <c r="G41" s="36"/>
      <c r="H41" s="37">
        <v>9</v>
      </c>
      <c r="I41" s="35">
        <f>IF(
NOT(ISBLANK(D41)),
IF(
'Dashboard - Quarter'!$C$4=$C41,
IF(D41&gt;4.99,
IF(G41=1, H41, D41), H41),
IF(G41=1, H41, D41)
),
H41)</f>
        <v>9</v>
      </c>
      <c r="J41" s="37">
        <v>7.5</v>
      </c>
      <c r="K41" s="35">
        <f>IF(
NOT(ISBLANK(D41)),
IF(
'Dashboard - Quarter'!$C$4=$C41,
IF(D41&gt;4.99, IF(G41=1, J41, D41), J41),
IF(G41=1, J41, D41)
),
J41)</f>
        <v>7.5</v>
      </c>
      <c r="L41" s="35">
        <f>IF(OR(G41&gt;0, ISBLANK(D41)), E41*'Dashboard - Exams'!$G$6*K41/10, 0)</f>
        <v>21</v>
      </c>
      <c r="M41" s="26" t="s">
        <v>58</v>
      </c>
      <c r="N41" s="15" t="b">
        <f t="shared" si="1"/>
        <v>0</v>
      </c>
    </row>
    <row r="42" spans="1:14" x14ac:dyDescent="0.25">
      <c r="A42" s="25"/>
      <c r="B42" s="15" t="s">
        <v>21</v>
      </c>
      <c r="C42" s="35">
        <v>1</v>
      </c>
      <c r="D42"/>
      <c r="E42" s="35">
        <v>2</v>
      </c>
      <c r="F42" s="34" t="str">
        <f t="shared" si="0"/>
        <v>Pending</v>
      </c>
      <c r="G42" s="36"/>
      <c r="H42" s="37">
        <v>9</v>
      </c>
      <c r="I42" s="35">
        <f>IF(
NOT(ISBLANK(D42)),
IF(
'Dashboard - Quarter'!$C$4=$C42,
IF(D42&gt;4.99,
IF(G42=1, H42, D42), H42),
IF(G42=1, H42, D42)
),
H42)</f>
        <v>9</v>
      </c>
      <c r="J42" s="37">
        <v>7.5</v>
      </c>
      <c r="K42" s="35">
        <f>IF(
NOT(ISBLANK(D42)),
IF(
'Dashboard - Quarter'!$C$4=$C42,
IF(D42&gt;4.99, IF(G42=1, J42, D42), J42),
IF(G42=1, J42, D42)
),
J42)</f>
        <v>7.5</v>
      </c>
      <c r="L42" s="35">
        <f>IF(OR(G42&gt;0, ISBLANK(D42)), E42*'Dashboard - Exams'!$G$6*K42/10, 0)</f>
        <v>42</v>
      </c>
      <c r="M42" s="26" t="s">
        <v>58</v>
      </c>
      <c r="N42" s="15" t="b">
        <f t="shared" si="1"/>
        <v>0</v>
      </c>
    </row>
    <row r="43" spans="1:14" x14ac:dyDescent="0.25">
      <c r="A43" s="25"/>
      <c r="B43" s="15" t="s">
        <v>20</v>
      </c>
      <c r="C43" s="35">
        <v>1</v>
      </c>
      <c r="D43"/>
      <c r="E43" s="35">
        <v>3</v>
      </c>
      <c r="F43" s="34" t="str">
        <f t="shared" si="0"/>
        <v>Pending</v>
      </c>
      <c r="G43" s="36"/>
      <c r="H43" s="37">
        <v>9</v>
      </c>
      <c r="I43" s="35">
        <f>IF(
NOT(ISBLANK(D43)),
IF(
'Dashboard - Quarter'!$C$4=$C43,
IF(D43&gt;4.99,
IF(G43=1, H43, D43), H43),
IF(G43=1, H43, D43)
),
H43)</f>
        <v>9</v>
      </c>
      <c r="J43" s="37">
        <v>7.5</v>
      </c>
      <c r="K43" s="35">
        <f>IF(
NOT(ISBLANK(D43)),
IF(
'Dashboard - Quarter'!$C$4=$C43,
IF(D43&gt;4.99, IF(G43=1, J43, D43), J43),
IF(G43=1, J43, D43)
),
J43)</f>
        <v>7.5</v>
      </c>
      <c r="L43" s="35">
        <f>IF(OR(G43&gt;0, ISBLANK(D43)), E43*'Dashboard - Exams'!$G$6*K43/10, 0)</f>
        <v>63</v>
      </c>
      <c r="M43" s="26" t="s">
        <v>58</v>
      </c>
      <c r="N43" s="15" t="b">
        <f t="shared" si="1"/>
        <v>0</v>
      </c>
    </row>
    <row r="44" spans="1:14" x14ac:dyDescent="0.25">
      <c r="A44" s="25"/>
      <c r="B44" s="15" t="s">
        <v>19</v>
      </c>
      <c r="C44" s="35">
        <v>1</v>
      </c>
      <c r="D44"/>
      <c r="E44" s="35">
        <v>4</v>
      </c>
      <c r="F44" s="34" t="str">
        <f t="shared" si="0"/>
        <v>Pending</v>
      </c>
      <c r="G44" s="36"/>
      <c r="H44" s="37">
        <v>9</v>
      </c>
      <c r="I44" s="35">
        <f>IF(
NOT(ISBLANK(D44)),
IF(
'Dashboard - Quarter'!$C$4=$C44,
IF(D44&gt;4.99,
IF(G44=1, H44, D44), H44),
IF(G44=1, H44, D44)
),
H44)</f>
        <v>9</v>
      </c>
      <c r="J44" s="37">
        <v>7.5</v>
      </c>
      <c r="K44" s="35">
        <f>IF(
NOT(ISBLANK(D44)),
IF(
'Dashboard - Quarter'!$C$4=$C44,
IF(D44&gt;4.99, IF(G44=1, J44, D44), J44),
IF(G44=1, J44, D44)
),
J44)</f>
        <v>7.5</v>
      </c>
      <c r="L44" s="35">
        <f>IF(OR(G44&gt;0, ISBLANK(D44)), E44*'Dashboard - Exams'!$G$6*K44/10, 0)</f>
        <v>84</v>
      </c>
      <c r="M44" s="26" t="s">
        <v>58</v>
      </c>
      <c r="N44" s="15" t="b">
        <f t="shared" si="1"/>
        <v>0</v>
      </c>
    </row>
    <row r="45" spans="1:14" x14ac:dyDescent="0.25">
      <c r="A45" s="25"/>
      <c r="B45" s="15" t="s">
        <v>16</v>
      </c>
      <c r="C45" s="35">
        <v>1</v>
      </c>
      <c r="D45"/>
      <c r="E45" s="35">
        <v>5</v>
      </c>
      <c r="F45" s="34" t="str">
        <f t="shared" si="0"/>
        <v>Pending</v>
      </c>
      <c r="G45" s="36"/>
      <c r="H45" s="37">
        <v>9</v>
      </c>
      <c r="I45" s="35">
        <f>IF(
NOT(ISBLANK(D45)),
IF(
'Dashboard - Quarter'!$C$4=$C45,
IF(D45&gt;4.99,
IF(G45=1, H45, D45), H45),
IF(G45=1, H45, D45)
),
H45)</f>
        <v>9</v>
      </c>
      <c r="J45" s="37">
        <v>7.5</v>
      </c>
      <c r="K45" s="35">
        <f>IF(
NOT(ISBLANK(D45)),
IF(
'Dashboard - Quarter'!$C$4=$C45,
IF(D45&gt;4.99, IF(G45=1, J45, D45), J45),
IF(G45=1, J45, D45)
),
J45)</f>
        <v>7.5</v>
      </c>
      <c r="L45" s="35">
        <f>IF(OR(G45&gt;0, ISBLANK(D45)), E45*'Dashboard - Exams'!$G$6*K45/10, 0)</f>
        <v>105</v>
      </c>
      <c r="M45" s="26" t="s">
        <v>58</v>
      </c>
      <c r="N45" s="15" t="b">
        <f t="shared" si="1"/>
        <v>0</v>
      </c>
    </row>
    <row r="46" spans="1:14" x14ac:dyDescent="0.25">
      <c r="A46" s="25"/>
      <c r="B46" s="15" t="s">
        <v>0</v>
      </c>
      <c r="C46" s="35">
        <v>2</v>
      </c>
      <c r="D46"/>
      <c r="E46" s="35">
        <v>15</v>
      </c>
      <c r="F46" s="34" t="str">
        <f t="shared" si="0"/>
        <v>Pending</v>
      </c>
      <c r="G46" s="36"/>
      <c r="H46" s="37">
        <v>9</v>
      </c>
      <c r="I46" s="35">
        <f>IF(
NOT(ISBLANK(D46)),
IF(
'Dashboard - Quarter'!$C$4=$C46,
IF(D46&gt;4.99,
IF(G46=1, H46, D46), H46),
IF(G46=1, H46, D46)
),
H46)</f>
        <v>9</v>
      </c>
      <c r="J46" s="37">
        <v>7.5</v>
      </c>
      <c r="K46" s="35">
        <f>IF(
NOT(ISBLANK(D46)),
IF(
'Dashboard - Quarter'!$C$4=$C46,
IF(D46&gt;4.99, IF(G46=1, J46, D46), J46),
IF(G46=1, J46, D46)
),
J46)</f>
        <v>7.5</v>
      </c>
      <c r="L46" s="35">
        <f>IF(OR(G46&gt;0, ISBLANK(D46)), E46*'Dashboard - Exams'!$G$6*K46/10, 0)</f>
        <v>315</v>
      </c>
      <c r="M46" s="26" t="s">
        <v>58</v>
      </c>
      <c r="N46" s="15" t="b">
        <f t="shared" si="1"/>
        <v>0</v>
      </c>
    </row>
  </sheetData>
  <sortState xmlns:xlrd2="http://schemas.microsoft.com/office/spreadsheetml/2017/richdata2" ref="B2:N46">
    <sortCondition ref="M2:M46"/>
    <sortCondition ref="C2:C46"/>
    <sortCondition ref="E2:E46"/>
  </sortState>
  <phoneticPr fontId="1" type="noConversion"/>
  <conditionalFormatting sqref="F2:F46">
    <cfRule type="expression" dxfId="10" priority="25">
      <formula>$F2="Definitive"</formula>
    </cfRule>
  </conditionalFormatting>
  <conditionalFormatting sqref="M2:M46">
    <cfRule type="expression" dxfId="9" priority="39">
      <formula>$M2="Minor"</formula>
    </cfRule>
    <cfRule type="expression" dxfId="8" priority="40">
      <formula>$M2=1</formula>
    </cfRule>
    <cfRule type="expression" dxfId="7" priority="41">
      <formula>$M2=2</formula>
    </cfRule>
    <cfRule type="expression" dxfId="6" priority="42">
      <formula>$M2=3</formula>
    </cfRule>
  </conditionalFormatting>
  <conditionalFormatting sqref="N2:N46">
    <cfRule type="expression" dxfId="5" priority="17">
      <formula>N2=FALSE</formula>
    </cfRule>
    <cfRule type="expression" dxfId="4" priority="18">
      <formula>N2=TRUE</formula>
    </cfRule>
  </conditionalFormatting>
  <conditionalFormatting sqref="B2:B46 G2:G46 I2:I46 K2:K46">
    <cfRule type="expression" dxfId="3" priority="80">
      <formula>AND($D2&lt;5, NOT(ISBLANK($D2)))</formula>
    </cfRule>
    <cfRule type="expression" dxfId="2" priority="81">
      <formula>AND($G2=1, $J2&gt;$C2, NOT(ISBLANK($D2)))</formula>
    </cfRule>
    <cfRule type="expression" dxfId="1" priority="82">
      <formula>ISBLANK($D2)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300-000001000000}">
            <xm:f>AND(NOT(ISBLANK($D2)), $D2&lt;5, NOT($G2=1), $C2+1='Dashboard - Quarter'!$C$4)</xm:f>
            <x14:dxf>
              <fill>
                <patternFill>
                  <bgColor theme="1"/>
                </patternFill>
              </fill>
            </x14:dxf>
          </x14:cfRule>
          <xm:sqref>G2:G46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45299D-6208-47E5-93C5-616309A408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Modules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2021-07-04T22:13:43Z</dcterms:modified>
</cp:coreProperties>
</file>