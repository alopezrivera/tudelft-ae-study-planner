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AE_BSc\record\template\"/>
    </mc:Choice>
  </mc:AlternateContent>
  <xr:revisionPtr revIDLastSave="0" documentId="13_ncr:1_{AAAFF234-99BC-4D0E-9ECD-F8F4ADC9A568}" xr6:coauthVersionLast="46" xr6:coauthVersionMax="46" xr10:uidLastSave="{00000000-0000-0000-0000-000000000000}"/>
  <bookViews>
    <workbookView xWindow="-109" yWindow="-109" windowWidth="25146" windowHeight="14889" activeTab="3" xr2:uid="{00000000-000D-0000-FFFF-FFFF00000000}"/>
  </bookViews>
  <sheets>
    <sheet name="Dashboard - Quarter" sheetId="14" r:id="rId1"/>
    <sheet name="Dashboard - Exams" sheetId="5" r:id="rId2"/>
    <sheet name="Dashboard - Overview" sheetId="12" r:id="rId3"/>
    <sheet name="Courses" sheetId="1" r:id="rId4"/>
    <sheet name="Modules" sheetId="2" r:id="rId5"/>
    <sheet name="Resources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" i="1"/>
  <c r="I2" i="1"/>
  <c r="B8" i="4" a="1"/>
  <c r="B8" i="4" s="1"/>
  <c r="B7" i="4" a="1"/>
  <c r="B7" i="4" s="1"/>
  <c r="B3" i="4" l="1" a="1"/>
  <c r="B3" i="4" s="1"/>
  <c r="I6" i="1"/>
  <c r="I8" i="1"/>
  <c r="I12" i="1"/>
  <c r="I14" i="1"/>
  <c r="I15" i="1"/>
  <c r="I16" i="1"/>
  <c r="I17" i="1"/>
  <c r="I22" i="1"/>
  <c r="I29" i="1"/>
  <c r="I32" i="1"/>
  <c r="I35" i="1"/>
  <c r="I44" i="1"/>
  <c r="I46" i="1"/>
  <c r="I3" i="1"/>
  <c r="I4" i="1"/>
  <c r="I45" i="1"/>
  <c r="I43" i="1"/>
  <c r="I42" i="1"/>
  <c r="I41" i="1"/>
  <c r="I40" i="1"/>
  <c r="I39" i="1"/>
  <c r="I38" i="1"/>
  <c r="I37" i="1"/>
  <c r="I36" i="1"/>
  <c r="I34" i="1"/>
  <c r="I33" i="1"/>
  <c r="I31" i="1"/>
  <c r="I30" i="1"/>
  <c r="I28" i="1"/>
  <c r="I27" i="1"/>
  <c r="I26" i="1"/>
  <c r="I25" i="1"/>
  <c r="I24" i="1"/>
  <c r="I23" i="1"/>
  <c r="I21" i="1"/>
  <c r="I20" i="1"/>
  <c r="I19" i="1"/>
  <c r="I18" i="1"/>
  <c r="I13" i="1"/>
  <c r="I11" i="1"/>
  <c r="I10" i="1"/>
  <c r="I9" i="1"/>
  <c r="I7" i="1"/>
  <c r="I5" i="1"/>
  <c r="B4" i="4" l="1" a="1"/>
  <c r="B4" i="4" s="1"/>
  <c r="B19" i="4" a="1"/>
  <c r="B20" i="4" a="1"/>
  <c r="B20" i="4" l="1"/>
  <c r="B19" i="4"/>
  <c r="E7" i="14" l="1"/>
  <c r="E6" i="14"/>
  <c r="B6" i="4" l="1" a="1"/>
  <c r="B6" i="4" s="1"/>
  <c r="B5" i="4" l="1" a="1"/>
  <c r="B5" i="4" s="1"/>
  <c r="B2" i="4"/>
  <c r="N2" i="1" l="1"/>
  <c r="N3" i="1"/>
  <c r="N14" i="1"/>
  <c r="N15" i="1"/>
  <c r="N16" i="1"/>
  <c r="N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2" i="1"/>
  <c r="B3" i="2" a="1"/>
  <c r="B3" i="2" s="1"/>
  <c r="B2" i="2" a="1"/>
  <c r="B2" i="2" s="1"/>
  <c r="B7" i="2" a="1"/>
  <c r="B7" i="2" s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P46" i="1"/>
  <c r="M22" i="1"/>
  <c r="M12" i="1"/>
  <c r="M32" i="1"/>
  <c r="M13" i="1"/>
  <c r="M14" i="1"/>
  <c r="M2" i="1"/>
  <c r="M3" i="1"/>
  <c r="M16" i="1"/>
  <c r="M4" i="1"/>
  <c r="M33" i="1"/>
  <c r="M5" i="1"/>
  <c r="M6" i="1"/>
  <c r="M7" i="1"/>
  <c r="M8" i="1"/>
  <c r="M9" i="1"/>
  <c r="M10" i="1"/>
  <c r="M40" i="1"/>
  <c r="M41" i="1"/>
  <c r="M29" i="1"/>
  <c r="M42" i="1"/>
  <c r="M30" i="1"/>
  <c r="M17" i="1"/>
  <c r="M39" i="1"/>
  <c r="M43" i="1"/>
  <c r="M38" i="1"/>
  <c r="M35" i="1"/>
  <c r="M31" i="1"/>
  <c r="N34" i="1"/>
  <c r="M27" i="1"/>
  <c r="M23" i="1"/>
  <c r="M19" i="1"/>
  <c r="M11" i="1"/>
  <c r="M44" i="1"/>
  <c r="M25" i="1"/>
  <c r="M36" i="1"/>
  <c r="M45" i="1"/>
  <c r="M37" i="1"/>
  <c r="M24" i="1"/>
  <c r="M46" i="1"/>
  <c r="M20" i="1"/>
  <c r="M28" i="1"/>
  <c r="M21" i="1"/>
  <c r="M26" i="1"/>
  <c r="M18" i="1"/>
  <c r="I4" i="12" a="1"/>
  <c r="I4" i="12" s="1"/>
  <c r="J16" i="1"/>
  <c r="J32" i="1"/>
  <c r="J13" i="1"/>
  <c r="J15" i="1"/>
  <c r="J3" i="1"/>
  <c r="J27" i="1"/>
  <c r="J5" i="1"/>
  <c r="J20" i="1"/>
  <c r="J34" i="1"/>
  <c r="J6" i="1"/>
  <c r="J7" i="1"/>
  <c r="J28" i="1"/>
  <c r="J36" i="1"/>
  <c r="J39" i="1"/>
  <c r="J37" i="1"/>
  <c r="J35" i="1"/>
  <c r="J18" i="1"/>
  <c r="J9" i="1"/>
  <c r="J38" i="1"/>
  <c r="J10" i="1"/>
  <c r="J46" i="1"/>
  <c r="J17" i="1"/>
  <c r="J44" i="1"/>
  <c r="J31" i="1"/>
  <c r="J19" i="1"/>
  <c r="J41" i="1"/>
  <c r="J11" i="1"/>
  <c r="J30" i="1"/>
  <c r="B11" i="4" a="1"/>
  <c r="B11" i="4" s="1"/>
  <c r="B12" i="4" a="1"/>
  <c r="B12" i="4" s="1"/>
  <c r="D2" i="2" a="1"/>
  <c r="D2" i="2" s="1"/>
  <c r="B11" i="2" a="1"/>
  <c r="B11" i="2" s="1"/>
  <c r="B9" i="2" a="1"/>
  <c r="B9" i="2" s="1"/>
  <c r="D11" i="2" a="1"/>
  <c r="D11" i="2" s="1"/>
  <c r="D19" i="2" a="1"/>
  <c r="D19" i="2" s="1"/>
  <c r="D20" i="2" a="1"/>
  <c r="D20" i="2" s="1"/>
  <c r="D3" i="2" a="1"/>
  <c r="D3" i="2" s="1"/>
  <c r="D4" i="2" a="1"/>
  <c r="D4" i="2" s="1"/>
  <c r="D5" i="2" a="1"/>
  <c r="D5" i="2" s="1"/>
  <c r="D6" i="2" a="1"/>
  <c r="D6" i="2" s="1"/>
  <c r="D7" i="2" a="1"/>
  <c r="D7" i="2" s="1"/>
  <c r="D8" i="2" a="1"/>
  <c r="D8" i="2" s="1"/>
  <c r="D9" i="2" a="1"/>
  <c r="D9" i="2" s="1"/>
  <c r="D10" i="2" a="1"/>
  <c r="D10" i="2" s="1"/>
  <c r="D12" i="2" a="1"/>
  <c r="D12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D26" i="2" a="1"/>
  <c r="D26" i="2" s="1"/>
  <c r="D27" i="2" a="1"/>
  <c r="D27" i="2" s="1"/>
  <c r="D28" i="2" a="1"/>
  <c r="D28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10" i="2" a="1"/>
  <c r="C10" i="2" s="1"/>
  <c r="C9" i="2" a="1"/>
  <c r="C9" i="2" s="1"/>
  <c r="C8" i="2" a="1"/>
  <c r="C8" i="2" s="1"/>
  <c r="C14" i="2" a="1"/>
  <c r="C14" i="2" s="1"/>
  <c r="C18" i="2" a="1"/>
  <c r="C18" i="2" s="1"/>
  <c r="C17" i="2" a="1"/>
  <c r="C17" i="2" s="1"/>
  <c r="C16" i="2" a="1"/>
  <c r="C16" i="2" s="1"/>
  <c r="C15" i="2" a="1"/>
  <c r="C15" i="2" s="1"/>
  <c r="C13" i="2" a="1"/>
  <c r="C13" i="2" s="1"/>
  <c r="C12" i="2" a="1"/>
  <c r="C12" i="2" s="1"/>
  <c r="C11" i="2" a="1"/>
  <c r="C11" i="2" s="1"/>
  <c r="C28" i="2" a="1"/>
  <c r="C28" i="2" s="1"/>
  <c r="C27" i="2" a="1"/>
  <c r="C27" i="2" s="1"/>
  <c r="C26" i="2" a="1"/>
  <c r="C26" i="2" s="1"/>
  <c r="C25" i="2" a="1"/>
  <c r="C25" i="2" s="1"/>
  <c r="C24" i="2" a="1"/>
  <c r="C24" i="2" s="1"/>
  <c r="C23" i="2" a="1"/>
  <c r="C23" i="2" s="1"/>
  <c r="C22" i="2" a="1"/>
  <c r="C22" i="2" s="1"/>
  <c r="C21" i="2" a="1"/>
  <c r="C21" i="2" s="1"/>
  <c r="C20" i="2" a="1"/>
  <c r="C20" i="2" s="1"/>
  <c r="C19" i="2" a="1"/>
  <c r="C19" i="2" s="1"/>
  <c r="C7" i="2" a="1"/>
  <c r="C7" i="2" s="1"/>
  <c r="B25" i="2" a="1"/>
  <c r="B25" i="2" s="1"/>
  <c r="B24" i="2" a="1"/>
  <c r="B24" i="2" s="1"/>
  <c r="B23" i="2" a="1"/>
  <c r="B23" i="2" s="1"/>
  <c r="B22" i="2" a="1"/>
  <c r="B22" i="2" s="1"/>
  <c r="B21" i="2" a="1"/>
  <c r="B21" i="2" s="1"/>
  <c r="B20" i="2" a="1"/>
  <c r="B20" i="2" s="1"/>
  <c r="B19" i="2" a="1"/>
  <c r="B19" i="2" s="1"/>
  <c r="B6" i="2" a="1"/>
  <c r="B6" i="2" s="1"/>
  <c r="B5" i="2" a="1"/>
  <c r="B5" i="2" s="1"/>
  <c r="B4" i="2" a="1"/>
  <c r="B4" i="2" s="1"/>
  <c r="B10" i="2" a="1"/>
  <c r="B10" i="2" s="1"/>
  <c r="B8" i="2" a="1"/>
  <c r="B8" i="2" s="1"/>
  <c r="B14" i="2" a="1"/>
  <c r="B14" i="2" s="1"/>
  <c r="B18" i="2" a="1"/>
  <c r="B18" i="2" s="1"/>
  <c r="B17" i="2" a="1"/>
  <c r="B17" i="2" s="1"/>
  <c r="B16" i="2" a="1"/>
  <c r="B16" i="2" s="1"/>
  <c r="B15" i="2" a="1"/>
  <c r="B15" i="2" s="1"/>
  <c r="B13" i="2" a="1"/>
  <c r="B13" i="2" s="1"/>
  <c r="B12" i="2" a="1"/>
  <c r="B12" i="2" s="1"/>
  <c r="B28" i="2" a="1"/>
  <c r="B28" i="2" s="1"/>
  <c r="B27" i="2" a="1"/>
  <c r="B27" i="2" s="1"/>
  <c r="B26" i="2" a="1"/>
  <c r="B26" i="2" s="1"/>
  <c r="E24" i="2" l="1" a="1"/>
  <c r="E24" i="2" s="1"/>
  <c r="N20" i="1"/>
  <c r="N18" i="1"/>
  <c r="N13" i="1"/>
  <c r="N33" i="1"/>
  <c r="N25" i="1"/>
  <c r="N32" i="1"/>
  <c r="E3" i="2" s="1" a="1"/>
  <c r="E3" i="2" s="1"/>
  <c r="N31" i="1"/>
  <c r="N4" i="1"/>
  <c r="N46" i="1"/>
  <c r="N30" i="1"/>
  <c r="N12" i="1"/>
  <c r="F10" i="2" s="1" a="1"/>
  <c r="F10" i="2" s="1"/>
  <c r="G10" i="2" s="1"/>
  <c r="N45" i="1"/>
  <c r="F26" i="2" s="1" a="1"/>
  <c r="F26" i="2" s="1"/>
  <c r="G26" i="2" s="1"/>
  <c r="N29" i="1"/>
  <c r="H4" i="2" s="1" a="1"/>
  <c r="H4" i="2" s="1"/>
  <c r="I4" i="2" s="1"/>
  <c r="N11" i="1"/>
  <c r="F24" i="2" s="1" a="1"/>
  <c r="F24" i="2" s="1"/>
  <c r="G24" i="2" s="1"/>
  <c r="N44" i="1"/>
  <c r="N28" i="1"/>
  <c r="N10" i="1"/>
  <c r="N43" i="1"/>
  <c r="N27" i="1"/>
  <c r="N21" i="1"/>
  <c r="F23" i="2" s="1" a="1"/>
  <c r="F23" i="2" s="1"/>
  <c r="G23" i="2" s="1"/>
  <c r="N9" i="1"/>
  <c r="N42" i="1"/>
  <c r="F7" i="2" s="1" a="1"/>
  <c r="F7" i="2" s="1"/>
  <c r="G7" i="2" s="1"/>
  <c r="N26" i="1"/>
  <c r="F25" i="2" s="1" a="1"/>
  <c r="F25" i="2" s="1"/>
  <c r="G25" i="2" s="1"/>
  <c r="N8" i="1"/>
  <c r="F15" i="2" s="1" a="1"/>
  <c r="F15" i="2" s="1"/>
  <c r="G15" i="2" s="1"/>
  <c r="N41" i="1"/>
  <c r="H6" i="2" s="1" a="1"/>
  <c r="H6" i="2" s="1"/>
  <c r="I6" i="2" s="1"/>
  <c r="N19" i="1"/>
  <c r="N7" i="1"/>
  <c r="E12" i="2" s="1" a="1"/>
  <c r="E12" i="2" s="1"/>
  <c r="N40" i="1"/>
  <c r="N24" i="1"/>
  <c r="N6" i="1"/>
  <c r="F21" i="2" s="1" a="1"/>
  <c r="F21" i="2" s="1"/>
  <c r="G21" i="2" s="1"/>
  <c r="N39" i="1"/>
  <c r="N23" i="1"/>
  <c r="N17" i="1"/>
  <c r="F14" i="2" s="1" a="1"/>
  <c r="F14" i="2" s="1"/>
  <c r="G14" i="2" s="1"/>
  <c r="N5" i="1"/>
  <c r="E13" i="2" s="1" a="1"/>
  <c r="E13" i="2" s="1"/>
  <c r="N37" i="1"/>
  <c r="N38" i="1"/>
  <c r="H18" i="2" s="1" a="1"/>
  <c r="H18" i="2" s="1"/>
  <c r="I18" i="2" s="1"/>
  <c r="N36" i="1"/>
  <c r="N35" i="1"/>
  <c r="M34" i="1"/>
  <c r="M15" i="1"/>
  <c r="F8" i="2" s="1" a="1"/>
  <c r="F8" i="2" s="1"/>
  <c r="G8" i="2" s="1"/>
  <c r="C2" i="5"/>
  <c r="J22" i="1"/>
  <c r="J45" i="1"/>
  <c r="J21" i="1"/>
  <c r="J26" i="1"/>
  <c r="J33" i="1"/>
  <c r="H5" i="2" s="1" a="1"/>
  <c r="H5" i="2" s="1"/>
  <c r="I5" i="2" s="1"/>
  <c r="J25" i="1"/>
  <c r="J2" i="1"/>
  <c r="J8" i="1"/>
  <c r="J24" i="1"/>
  <c r="J12" i="1"/>
  <c r="J4" i="1"/>
  <c r="J29" i="1"/>
  <c r="J42" i="1"/>
  <c r="J14" i="1"/>
  <c r="J23" i="1"/>
  <c r="J40" i="1"/>
  <c r="H2" i="2" s="1" a="1"/>
  <c r="H2" i="2" s="1"/>
  <c r="I2" i="2" s="1"/>
  <c r="J43" i="1"/>
  <c r="J29" i="5" l="1" a="1"/>
  <c r="J29" i="5" s="1"/>
  <c r="F28" i="2" a="1"/>
  <c r="F28" i="2" s="1"/>
  <c r="G28" i="2" s="1"/>
  <c r="B29" i="5" a="1"/>
  <c r="J12" i="5" a="1"/>
  <c r="J12" i="5" s="1"/>
  <c r="F20" i="2" a="1"/>
  <c r="F20" i="2" s="1"/>
  <c r="G20" i="2" s="1"/>
  <c r="F5" i="2" a="1"/>
  <c r="F5" i="2" s="1"/>
  <c r="G5" i="2" s="1"/>
  <c r="H9" i="2" a="1"/>
  <c r="H9" i="2" s="1"/>
  <c r="I9" i="2" s="1"/>
  <c r="H20" i="2" a="1"/>
  <c r="H20" i="2" s="1"/>
  <c r="I20" i="2" s="1"/>
  <c r="F19" i="2" a="1"/>
  <c r="F19" i="2" s="1"/>
  <c r="G19" i="2" s="1"/>
  <c r="F9" i="2" a="1"/>
  <c r="F9" i="2" s="1"/>
  <c r="G9" i="2" s="1"/>
  <c r="F2" i="2" a="1"/>
  <c r="F2" i="2" s="1"/>
  <c r="G2" i="2" s="1"/>
  <c r="B4" i="12" a="1"/>
  <c r="B4" i="12" s="1"/>
  <c r="B12" i="5" a="1"/>
  <c r="H17" i="2" a="1"/>
  <c r="H17" i="2" s="1"/>
  <c r="I17" i="2" s="1"/>
  <c r="E26" i="2" a="1"/>
  <c r="E26" i="2" s="1"/>
  <c r="H16" i="2" a="1"/>
  <c r="H16" i="2" s="1"/>
  <c r="I16" i="2" s="1"/>
  <c r="H14" i="2" a="1"/>
  <c r="H14" i="2" s="1"/>
  <c r="I14" i="2" s="1"/>
  <c r="H19" i="2" a="1"/>
  <c r="H19" i="2" s="1"/>
  <c r="I19" i="2" s="1"/>
  <c r="F27" i="2" a="1"/>
  <c r="F27" i="2" s="1"/>
  <c r="G27" i="2" s="1"/>
  <c r="H23" i="2" a="1"/>
  <c r="H23" i="2" s="1"/>
  <c r="I23" i="2" s="1"/>
  <c r="H7" i="2" a="1"/>
  <c r="H7" i="2" s="1"/>
  <c r="I7" i="2" s="1"/>
  <c r="H10" i="2" a="1"/>
  <c r="H10" i="2" s="1"/>
  <c r="I10" i="2" s="1"/>
  <c r="H12" i="2" a="1"/>
  <c r="H12" i="2" s="1"/>
  <c r="I12" i="2" s="1"/>
  <c r="F12" i="2" a="1"/>
  <c r="F12" i="2" s="1"/>
  <c r="G12" i="2" s="1"/>
  <c r="H26" i="2" a="1"/>
  <c r="H26" i="2" s="1"/>
  <c r="I26" i="2" s="1"/>
  <c r="H22" i="2" a="1"/>
  <c r="H22" i="2" s="1"/>
  <c r="I22" i="2" s="1"/>
  <c r="F16" i="2" a="1"/>
  <c r="F16" i="2" s="1"/>
  <c r="G16" i="2" s="1"/>
  <c r="H8" i="2" a="1"/>
  <c r="H8" i="2" s="1"/>
  <c r="I8" i="2" s="1"/>
  <c r="F11" i="2" a="1"/>
  <c r="F11" i="2" s="1"/>
  <c r="G11" i="2" s="1"/>
  <c r="H11" i="2" a="1"/>
  <c r="H11" i="2" s="1"/>
  <c r="I11" i="2" s="1"/>
  <c r="H21" i="2" a="1"/>
  <c r="H21" i="2" s="1"/>
  <c r="I21" i="2" s="1"/>
  <c r="F17" i="2" a="1"/>
  <c r="F17" i="2" s="1"/>
  <c r="G17" i="2" s="1"/>
  <c r="F22" i="2" a="1"/>
  <c r="F22" i="2" s="1"/>
  <c r="G22" i="2" s="1"/>
  <c r="H28" i="2" a="1"/>
  <c r="H28" i="2" s="1"/>
  <c r="I28" i="2" s="1"/>
  <c r="H24" i="2" a="1"/>
  <c r="H24" i="2" s="1"/>
  <c r="I24" i="2" s="1"/>
  <c r="H13" i="2" a="1"/>
  <c r="H13" i="2" s="1"/>
  <c r="I13" i="2" s="1"/>
  <c r="H27" i="2" a="1"/>
  <c r="H27" i="2" s="1"/>
  <c r="I27" i="2" s="1"/>
  <c r="H15" i="2" a="1"/>
  <c r="H15" i="2" s="1"/>
  <c r="I15" i="2" s="1"/>
  <c r="F6" i="2" a="1"/>
  <c r="F6" i="2" s="1"/>
  <c r="G6" i="2" s="1"/>
  <c r="F13" i="2" a="1"/>
  <c r="F13" i="2" s="1"/>
  <c r="G13" i="2" s="1"/>
  <c r="F18" i="2" a="1"/>
  <c r="F18" i="2" s="1"/>
  <c r="G18" i="2" s="1"/>
  <c r="F4" i="2" a="1"/>
  <c r="F4" i="2" s="1"/>
  <c r="G4" i="2" s="1"/>
  <c r="H3" i="2" a="1"/>
  <c r="H3" i="2" s="1"/>
  <c r="I3" i="2" s="1"/>
  <c r="H25" i="2" a="1"/>
  <c r="H25" i="2" s="1"/>
  <c r="I25" i="2" s="1"/>
  <c r="F3" i="2" a="1"/>
  <c r="F3" i="2" s="1"/>
  <c r="G3" i="2" s="1"/>
  <c r="E25" i="2" a="1"/>
  <c r="E25" i="2" s="1"/>
  <c r="E11" i="2" a="1"/>
  <c r="E11" i="2" s="1"/>
  <c r="E23" i="2" a="1"/>
  <c r="E23" i="2" s="1"/>
  <c r="E28" i="2" a="1"/>
  <c r="E28" i="2" s="1"/>
  <c r="E27" i="2" a="1"/>
  <c r="E27" i="2" s="1"/>
  <c r="E5" i="2" a="1"/>
  <c r="E5" i="2" s="1"/>
  <c r="E4" i="2" a="1"/>
  <c r="E4" i="2" s="1"/>
  <c r="E21" i="2" a="1"/>
  <c r="E21" i="2" s="1"/>
  <c r="E17" i="2" a="1"/>
  <c r="E17" i="2" s="1"/>
  <c r="E19" i="2" a="1"/>
  <c r="E19" i="2" s="1"/>
  <c r="E18" i="2" a="1"/>
  <c r="E18" i="2" s="1"/>
  <c r="E2" i="2" a="1"/>
  <c r="E2" i="2" s="1"/>
  <c r="E6" i="2" a="1"/>
  <c r="E6" i="2" s="1"/>
  <c r="E22" i="2" a="1"/>
  <c r="E22" i="2" s="1"/>
  <c r="E9" i="2" a="1"/>
  <c r="E9" i="2" s="1"/>
  <c r="E20" i="2" a="1"/>
  <c r="E20" i="2" s="1"/>
  <c r="E7" i="2" a="1"/>
  <c r="E7" i="2" s="1"/>
  <c r="E15" i="2" a="1"/>
  <c r="E15" i="2" s="1"/>
  <c r="E10" i="2" a="1"/>
  <c r="E10" i="2" s="1"/>
  <c r="E8" i="2" a="1"/>
  <c r="E8" i="2" s="1"/>
  <c r="E16" i="2" a="1"/>
  <c r="E16" i="2" s="1"/>
  <c r="E14" i="2" a="1"/>
  <c r="E14" i="2" s="1"/>
  <c r="H19" i="14" a="1"/>
  <c r="H18" i="14" a="1"/>
  <c r="H17" i="14" a="1"/>
  <c r="H16" i="14" a="1"/>
  <c r="H15" i="14" a="1"/>
  <c r="H14" i="14" a="1"/>
  <c r="H13" i="14" a="1"/>
  <c r="H12" i="14" a="1"/>
  <c r="H11" i="14" a="1"/>
  <c r="H10" i="14" a="1"/>
  <c r="H9" i="14" a="1"/>
  <c r="H8" i="14" a="1"/>
  <c r="H7" i="14" a="1"/>
  <c r="H6" i="14" a="1"/>
  <c r="H10" i="14" l="1"/>
  <c r="H11" i="14"/>
  <c r="H12" i="14"/>
  <c r="H13" i="14"/>
  <c r="H14" i="14"/>
  <c r="H15" i="14"/>
  <c r="H16" i="14"/>
  <c r="H17" i="14"/>
  <c r="H18" i="14"/>
  <c r="H19" i="14"/>
  <c r="H6" i="14"/>
  <c r="H7" i="14"/>
  <c r="H8" i="14"/>
  <c r="H9" i="14"/>
  <c r="B29" i="5"/>
  <c r="J13" i="14" a="1"/>
  <c r="J13" i="14" s="1"/>
  <c r="J14" i="14" a="1"/>
  <c r="J14" i="14" s="1"/>
  <c r="J12" i="14" a="1"/>
  <c r="J12" i="14" s="1"/>
  <c r="B12" i="5"/>
  <c r="C3" i="5" a="1"/>
  <c r="C3" i="5" s="1"/>
  <c r="K4" i="12" a="1"/>
  <c r="K4" i="12" s="1"/>
  <c r="C4" i="5" s="1"/>
  <c r="J4" i="12" a="1"/>
  <c r="J4" i="12" s="1"/>
  <c r="C5" i="5" s="1"/>
  <c r="B17" i="4" a="1"/>
  <c r="B15" i="4" a="1"/>
  <c r="H5" i="14" a="1"/>
  <c r="J19" i="14" l="1" a="1"/>
  <c r="J19" i="14" s="1"/>
  <c r="I19" i="14" a="1"/>
  <c r="I19" i="14" s="1"/>
  <c r="J18" i="14" a="1"/>
  <c r="J18" i="14" s="1"/>
  <c r="I18" i="14" a="1"/>
  <c r="I18" i="14" s="1"/>
  <c r="J17" i="14" a="1"/>
  <c r="J17" i="14" s="1"/>
  <c r="I17" i="14" a="1"/>
  <c r="I17" i="14" s="1"/>
  <c r="J16" i="14" a="1"/>
  <c r="J16" i="14" s="1"/>
  <c r="I16" i="14" a="1"/>
  <c r="I16" i="14" s="1"/>
  <c r="J15" i="14" a="1"/>
  <c r="J15" i="14" s="1"/>
  <c r="I15" i="14" a="1"/>
  <c r="I15" i="14" s="1"/>
  <c r="H5" i="14"/>
  <c r="E8" i="14" s="1" a="1"/>
  <c r="E8" i="14" s="1"/>
  <c r="B15" i="4"/>
  <c r="B16" i="4" s="1"/>
  <c r="B17" i="4"/>
  <c r="J9" i="14" a="1"/>
  <c r="J9" i="14" s="1"/>
  <c r="I9" i="14" a="1"/>
  <c r="I9" i="14" s="1"/>
  <c r="J10" i="14" a="1"/>
  <c r="J10" i="14" s="1"/>
  <c r="I10" i="14" a="1"/>
  <c r="I10" i="14" s="1"/>
  <c r="J11" i="14" a="1"/>
  <c r="J11" i="14" s="1"/>
  <c r="I11" i="14" a="1"/>
  <c r="I11" i="14" s="1"/>
  <c r="I12" i="14" a="1"/>
  <c r="I12" i="14" s="1"/>
  <c r="J8" i="14" a="1"/>
  <c r="J8" i="14" s="1"/>
  <c r="I8" i="14" a="1"/>
  <c r="I8" i="14" s="1"/>
  <c r="I14" i="14" a="1"/>
  <c r="I14" i="14" s="1"/>
  <c r="I13" i="14" a="1"/>
  <c r="I13" i="14" s="1"/>
  <c r="I6" i="14" a="1"/>
  <c r="I6" i="14" s="1"/>
  <c r="J6" i="14" a="1"/>
  <c r="J6" i="14" s="1"/>
  <c r="I7" i="14" a="1"/>
  <c r="I7" i="14" s="1"/>
  <c r="J7" i="14" a="1"/>
  <c r="J7" i="14" s="1"/>
  <c r="I5" i="14" a="1"/>
  <c r="I5" i="14" s="1"/>
  <c r="J5" i="14" a="1"/>
  <c r="J5" i="14" s="1"/>
  <c r="B18" i="4" a="1"/>
  <c r="J4" i="14" l="1"/>
  <c r="I4" i="14"/>
  <c r="B18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<sst xmlns="http://schemas.openxmlformats.org/spreadsheetml/2006/main" count="174" uniqueCount="121">
  <si>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</si>
  <si>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</si>
  <si>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</si>
  <si>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</si>
  <si>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</si>
  <si>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</si>
  <si>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</si>
  <si>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</si>
  <si>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</si>
  <si>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</si>
  <si>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</si>
  <si>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</si>
  <si>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</si>
  <si>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</si>
  <si>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</si>
  <si>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</si>
  <si>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</si>
  <si>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</si>
  <si>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</si>
  <si>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</si>
  <si>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</si>
  <si>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</si>
  <si>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</si>
  <si>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</si>
  <si>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</si>
  <si>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</si>
  <si>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</si>
  <si>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</si>
  <si>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</si>
  <si>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</si>
  <si>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</si>
  <si>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</si>
  <si>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</si>
  <si>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</si>
  <si>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</si>
  <si>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</si>
  <si>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</si>
  <si>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</si>
  <si>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</si>
  <si>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</si>
  <si>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</si>
  <si>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</si>
  <si>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</si>
  <si>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</si>
  <si>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</si>
  <si>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</si>
  <si>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</si>
  <si>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</si>
  <si>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</si>
  <si>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</si>
  <si>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</si>
  <si>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</si>
  <si>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</si>
  <si>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</si>
  <si>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</si>
  <si>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</si>
  <si>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</si>
  <si>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</si>
  <si>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</si>
  <si>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</si>
  <si>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</si>
  <si>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</si>
  <si>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</si>
  <si>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</si>
  <si>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</si>
  <si>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</si>
  <si>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</si>
  <si>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</si>
  <si>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</si>
  <si>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Return boolean mask of text matches in array</t>
  </si>
  <si>
    <t>Return slices of array matching text search condition</t>
  </si>
  <si>
    <t>Return desired columns of resultant array</t>
  </si>
  <si>
    <t>Return weighed module average</t>
  </si>
  <si>
    <t>Return first word in cell</t>
  </si>
  <si>
    <t>Course</t>
  </si>
  <si>
    <t>Resit</t>
  </si>
  <si>
    <t>Current average</t>
  </si>
  <si>
    <t>Resources: data processing</t>
  </si>
  <si>
    <t>Resources: retrieval</t>
  </si>
  <si>
    <t>Boolean array comparison</t>
  </si>
  <si>
    <t>Boolean array from column value comparison (AND)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</si>
  <si>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</si>
  <si>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</si>
  <si>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</si>
  <si>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</si>
  <si>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</si>
  <si>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</si>
  <si>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GRADE NEEDED</t>
  </si>
  <si>
    <t>Q3</t>
  </si>
  <si>
    <t>Q4</t>
  </si>
  <si>
    <t>Exams</t>
  </si>
  <si>
    <t>Q1</t>
  </si>
  <si>
    <t>Q2</t>
  </si>
  <si>
    <t>Module overview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</si>
  <si>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</si>
  <si>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</si>
  <si>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</si>
  <si>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</si>
  <si>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</si>
  <si>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</si>
  <si>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</si>
  <si>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</si>
  <si>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</si>
  <si>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</si>
  <si>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</si>
  <si>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</si>
  <si>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Days from today</t>
  </si>
  <si>
    <t>EXAM NUMBER</t>
  </si>
  <si>
    <t>Retrieve last n characters of string</t>
  </si>
  <si>
    <t>Resources: cell indexing operations</t>
  </si>
  <si>
    <t xml:space="preserve">Retrieve value of cell with new numberic index </t>
  </si>
  <si>
    <r>
      <t>Retrieve address of cell matching condition (</t>
    </r>
    <r>
      <rPr>
        <b/>
        <sz val="11"/>
        <color theme="1"/>
        <rFont val="Calibri"/>
        <family val="2"/>
        <scheme val="minor"/>
      </rPr>
      <t>Q2)</t>
    </r>
  </si>
  <si>
    <r>
      <t xml:space="preserve">Add </t>
    </r>
    <r>
      <rPr>
        <b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to numeric index of cell, and append to address</t>
    </r>
  </si>
  <si>
    <t>Retrieve current cell address</t>
  </si>
  <si>
    <r>
      <t>Get vertical coord difference bt cell, reference (</t>
    </r>
    <r>
      <rPr>
        <b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</si>
  <si>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t>max h/d</t>
  </si>
  <si>
    <t>min h/d</t>
  </si>
  <si>
    <t>Maximum possible grade</t>
  </si>
  <si>
    <t>Exams and resits</t>
  </si>
  <si>
    <t>Return boolean mask of array with multiple conditions</t>
  </si>
  <si>
    <t>Return boolean mask of array with multiple conditions [2]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</si>
</sst>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AE Year&quot;\ #"/>
    <numFmt numFmtId="165" formatCode="dd/mm;@"/>
    <numFmt numFmtId="166" formatCode="hh:mm;@"/>
    <numFmt numFmtId="167" formatCode="dd:hh:mm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FBC5C5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Protection="1"/>
    <xf numFmtId="0" fontId="0" fillId="12" borderId="9" xfId="0" applyFill="1" applyBorder="1" applyAlignment="1" applyProtection="1">
      <alignment vertical="center"/>
    </xf>
    <xf numFmtId="0" fontId="0" fillId="12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2" borderId="12" xfId="0" applyFill="1" applyBorder="1" applyAlignment="1" applyProtection="1">
      <alignment vertical="center"/>
    </xf>
    <xf numFmtId="0" fontId="0" fillId="12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3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1" xfId="0" applyBorder="1" applyProtection="1"/>
    <xf numFmtId="2" fontId="0" fillId="0" borderId="2" xfId="0" applyNumberFormat="1" applyBorder="1" applyProtection="1"/>
    <xf numFmtId="0" fontId="0" fillId="0" borderId="3" xfId="0" applyBorder="1" applyProtection="1"/>
    <xf numFmtId="2" fontId="0" fillId="0" borderId="4" xfId="0" applyNumberFormat="1" applyBorder="1" applyProtection="1"/>
    <xf numFmtId="0" fontId="0" fillId="2" borderId="3" xfId="0" applyFill="1" applyBorder="1" applyProtection="1"/>
    <xf numFmtId="2" fontId="0" fillId="2" borderId="4" xfId="0" applyNumberFormat="1" applyFill="1" applyBorder="1" applyProtection="1"/>
    <xf numFmtId="0" fontId="0" fillId="0" borderId="5" xfId="0" applyBorder="1" applyProtection="1"/>
    <xf numFmtId="2" fontId="0" fillId="0" borderId="6" xfId="0" applyNumberFormat="1" applyBorder="1" applyProtection="1"/>
    <xf numFmtId="0" fontId="0" fillId="0" borderId="0" xfId="0" applyBorder="1" applyProtection="1"/>
    <xf numFmtId="2" fontId="0" fillId="0" borderId="0" xfId="0" applyNumberFormat="1" applyBorder="1" applyProtection="1"/>
    <xf numFmtId="0" fontId="4" fillId="0" borderId="0" xfId="0" applyFont="1" applyBorder="1" applyAlignment="1" applyProtection="1">
      <alignment horizontal="center" vertical="center"/>
    </xf>
    <xf numFmtId="0" fontId="0" fillId="7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7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0" fillId="8" borderId="0" xfId="0" applyFill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 vertical="center"/>
    </xf>
    <xf numFmtId="164" fontId="0" fillId="0" borderId="0" xfId="0" applyNumberFormat="1" applyProtection="1"/>
    <xf numFmtId="0" fontId="0" fillId="0" borderId="0" xfId="0" applyAlignment="1" applyProtection="1">
      <alignment horizontal="right" vertical="center"/>
    </xf>
    <xf numFmtId="0" fontId="0" fillId="0" borderId="0" xfId="0" applyFill="1" applyProtection="1"/>
    <xf numFmtId="0" fontId="0" fillId="6" borderId="0" xfId="0" applyFill="1" applyAlignment="1" applyProtection="1">
      <alignment horizontal="center"/>
    </xf>
    <xf numFmtId="0" fontId="0" fillId="11" borderId="0" xfId="0" applyFill="1" applyAlignment="1" applyProtection="1">
      <alignment horizontal="center"/>
    </xf>
    <xf numFmtId="0" fontId="0" fillId="6" borderId="0" xfId="0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</xf>
    <xf numFmtId="0" fontId="0" fillId="10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6" fillId="0" borderId="0" xfId="0" applyFont="1" applyProtection="1"/>
    <xf numFmtId="0" fontId="0" fillId="0" borderId="0" xfId="0" applyFont="1" applyProtection="1"/>
    <xf numFmtId="0" fontId="0" fillId="0" borderId="0" xfId="0" applyFont="1" applyFill="1" applyProtection="1"/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2" fillId="0" borderId="0" xfId="0" applyFont="1" applyProtection="1"/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horizontal="left"/>
    </xf>
    <xf numFmtId="0" fontId="0" fillId="2" borderId="0" xfId="0" applyFill="1" applyAlignment="1" applyProtection="1">
      <alignment horizontal="center"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0" fontId="0" fillId="0" borderId="8" xfId="0" applyBorder="1" applyProtection="1"/>
    <xf numFmtId="166" fontId="0" fillId="0" borderId="8" xfId="0" applyNumberFormat="1" applyBorder="1" applyProtection="1"/>
    <xf numFmtId="0" fontId="3" fillId="2" borderId="0" xfId="0" applyFont="1" applyFill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0" fontId="0" fillId="4" borderId="0" xfId="0" applyFill="1" applyAlignment="1" applyProtection="1">
      <alignment horizontal="center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</cellXfs>
  <cellStyles count="1">
    <cellStyle name="Normal" xfId="0" builtinId="0"/>
  </cellStyles>
  <dxfs count="26"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E2EFDA"/>
        </patternFill>
      </fill>
    </dxf>
    <dxf>
      <fill>
        <patternFill>
          <bgColor rgb="FFFF4B4B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81C3FF"/>
        </patternFill>
      </fill>
    </dxf>
    <dxf>
      <fill>
        <patternFill>
          <bgColor theme="5" tint="0.39994506668294322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BC5C5"/>
      <color rgb="FFFF4B4B"/>
      <color rgb="FFFF6E15"/>
      <color rgb="FFF67E7E"/>
      <color rgb="FF6DC7FF"/>
      <color rgb="FFF4B084"/>
      <color rgb="FFC5E3FF"/>
      <color rgb="FFFFE699"/>
      <color rgb="FFFF9900"/>
      <color rgb="FF75C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topLeftCell="B1" workbookViewId="0">
      <selection activeCell="G4" sqref="G4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4" style="1" customWidth="1"/>
    <col min="9" max="10" width="8.875" style="1" customWidth="1"/>
    <col min="11" max="16384" width="9" style="1"/>
  </cols>
  <sheetData>
    <row r="3" spans="3:11" ht="14.95" thickBot="1" x14ac:dyDescent="0.3">
      <c r="I3" s="53" t="s">
        <v>115</v>
      </c>
      <c r="J3" s="54" t="s">
        <v>116</v>
      </c>
    </row>
    <row r="4" spans="3:11" x14ac:dyDescent="0.25">
      <c r="C4" s="2" t="s">
        <v>91</v>
      </c>
      <c r="D4" s="3" t="s">
        <v>103</v>
      </c>
      <c r="E4" s="4">
        <v>44321</v>
      </c>
      <c r="H4" s="55" t="s">
        <v>74</v>
      </c>
      <c r="I4" s="72">
        <f ca="1">SUM(I5:I104)</f>
        <v>0.37187500000000001</v>
      </c>
      <c r="J4" s="73">
        <f ca="1">SUM(J5:J104)</f>
        <v>0.28923611111111108</v>
      </c>
    </row>
    <row r="5" spans="3:11" x14ac:dyDescent="0.25">
      <c r="C5" s="6"/>
      <c r="D5" s="7" t="s">
        <v>104</v>
      </c>
      <c r="E5" s="8">
        <v>44369</v>
      </c>
      <c r="H5" s="57" t="str" cm="1">
        <f t="array" aca="1" ref="H5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AE1110-I Introduction to Aerospace Engineering I</v>
      </c>
      <c r="I5" s="58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0.109375</v>
      </c>
      <c r="J5" s="58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8.5069444444444434E-2</v>
      </c>
    </row>
    <row r="6" spans="3:11" x14ac:dyDescent="0.25">
      <c r="C6" s="6"/>
      <c r="D6" s="7" t="s">
        <v>105</v>
      </c>
      <c r="E6" s="9">
        <f>E5-E4</f>
        <v>48</v>
      </c>
      <c r="H6" s="24" t="str" cm="1">
        <f t="array" aca="1" ref="H6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AE1130-I Statics</v>
      </c>
      <c r="I6" s="56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8.7500000000000008E-2</v>
      </c>
      <c r="J6" s="56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6.8055555555555564E-2</v>
      </c>
    </row>
    <row r="7" spans="3:11" ht="14.95" thickBot="1" x14ac:dyDescent="0.3">
      <c r="C7" s="6"/>
      <c r="D7" s="7" t="s">
        <v>106</v>
      </c>
      <c r="E7" s="10">
        <f ca="1">E5-TODAY()</f>
        <v>44</v>
      </c>
      <c r="F7" s="11"/>
      <c r="H7" s="24" t="str" cm="1">
        <f t="array" aca="1" ref="H7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WI1421LR Calculus I-A</v>
      </c>
      <c r="I7" s="56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6.5625000000000003E-2</v>
      </c>
      <c r="J7" s="56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5.1041666666666659E-2</v>
      </c>
    </row>
    <row r="8" spans="3:11" ht="14.95" thickBot="1" x14ac:dyDescent="0.3">
      <c r="C8" s="12"/>
      <c r="D8" s="13" t="s">
        <v>107</v>
      </c>
      <c r="E8" s="14" cm="1">
        <f t="array" aca="1" ref="E8" ca="1">COUNTA(_xlfn._xlws.FILTER(H5:H19, (NOT(H5:H19 = "No more exams available"))))</f>
        <v>5</v>
      </c>
      <c r="H8" s="24" t="str" cm="1">
        <f t="array" aca="1" ref="H8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AE1111-I Exploring Aerospace Engineering</v>
      </c>
      <c r="I8" s="56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>6.5625000000000003E-2</v>
      </c>
      <c r="J8" s="56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>5.1041666666666659E-2</v>
      </c>
    </row>
    <row r="9" spans="3:11" x14ac:dyDescent="0.25">
      <c r="H9" s="24" t="str" cm="1">
        <f t="array" aca="1" ref="H9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AE1111-II Engineering Drawing</v>
      </c>
      <c r="I9" s="56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>4.3750000000000004E-2</v>
      </c>
      <c r="J9" s="56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>3.4027777777777782E-2</v>
      </c>
      <c r="K9" s="15"/>
    </row>
    <row r="10" spans="3:11" x14ac:dyDescent="0.25">
      <c r="H10" s="24" t="str" cm="1">
        <f t="array" aca="1" ref="H10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0" s="56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56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24" t="str" cm="1">
        <f t="array" aca="1" ref="H11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1" s="56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56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24" t="str" cm="1">
        <f t="array" aca="1" ref="H12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2" s="56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56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24" t="str" cm="1">
        <f t="array" aca="1" ref="H13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3" s="56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56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24" t="str" cm="1">
        <f t="array" aca="1" ref="H14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4" s="56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56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24" t="str" cm="1">
        <f t="array" aca="1" ref="H15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5" s="56" t="str" cm="1">
        <f t="array" aca="1" ref="I15" ca="1">IF(
AND(NOT(ISBLANK(H15)),
NOT(ISERROR(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/24))),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/24,
"")</f>
        <v/>
      </c>
      <c r="J15" s="56" t="str" cm="1">
        <f t="array" aca="1" ref="J15" ca="1">IF(AND(
NOT(ISBLANK(H15)),
NOT(ISERROR(_xlfn._xlws.FILTER(_xlfn._xlws.FILTER(Courses!$B$2:$P$46, IF(NOT(ISERROR(SEARCH(H15, Courses!$B$2:$B$46, 1))), TRUE, FALSE)), {0,0,0,0,0,0,0,0,0,0,0,0,1,0,0})
/E$6
/24))),
_xlfn._xlws.FILTER(_xlfn._xlws.FILTER(Courses!$B$2:$P$46, IF(NOT(ISERROR(SEARCH(H15, Courses!$B$2:$B$46, 1))), TRUE, FALSE)), {0,0,0,0,0,0,0,0,0,0,0,0,1,0,0})
/E$6
/24,
"")</f>
        <v/>
      </c>
    </row>
    <row r="16" spans="3:11" x14ac:dyDescent="0.25">
      <c r="H16" s="24" t="str" cm="1">
        <f t="array" aca="1" ref="H16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6" s="56" t="str" cm="1">
        <f t="array" aca="1" ref="I16" ca="1">IF(
AND(NOT(ISBLANK(H16)),
NOT(ISERROR(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/24))),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/24,
"")</f>
        <v/>
      </c>
      <c r="J16" s="56" t="str" cm="1">
        <f t="array" aca="1" ref="J16" ca="1">IF(AND(
NOT(ISBLANK(H16)),
NOT(ISERROR(_xlfn._xlws.FILTER(_xlfn._xlws.FILTER(Courses!$B$2:$P$46, IF(NOT(ISERROR(SEARCH(H16, Courses!$B$2:$B$46, 1))), TRUE, FALSE)), {0,0,0,0,0,0,0,0,0,0,0,0,1,0,0})
/E$6
/24))),
_xlfn._xlws.FILTER(_xlfn._xlws.FILTER(Courses!$B$2:$P$46, IF(NOT(ISERROR(SEARCH(H16, Courses!$B$2:$B$46, 1))), TRUE, FALSE)), {0,0,0,0,0,0,0,0,0,0,0,0,1,0,0})
/E$6
/24,
"")</f>
        <v/>
      </c>
    </row>
    <row r="17" spans="8:10" x14ac:dyDescent="0.25">
      <c r="H17" s="24" t="str" cm="1">
        <f t="array" aca="1" ref="H17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7" s="56" t="str" cm="1">
        <f t="array" aca="1" ref="I17" ca="1">IF(
AND(NOT(ISBLANK(H17)),
NOT(ISERROR(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/24))),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/24,
"")</f>
        <v/>
      </c>
      <c r="J17" s="56" t="str" cm="1">
        <f t="array" aca="1" ref="J17" ca="1">IF(AND(
NOT(ISBLANK(H17)),
NOT(ISERROR(_xlfn._xlws.FILTER(_xlfn._xlws.FILTER(Courses!$B$2:$P$46, IF(NOT(ISERROR(SEARCH(H17, Courses!$B$2:$B$46, 1))), TRUE, FALSE)), {0,0,0,0,0,0,0,0,0,0,0,0,1,0,0})
/E$6
/24))),
_xlfn._xlws.FILTER(_xlfn._xlws.FILTER(Courses!$B$2:$P$46, IF(NOT(ISERROR(SEARCH(H17, Courses!$B$2:$B$46, 1))), TRUE, FALSE)), {0,0,0,0,0,0,0,0,0,0,0,0,1,0,0})
/E$6
/24,
"")</f>
        <v/>
      </c>
    </row>
    <row r="18" spans="8:10" x14ac:dyDescent="0.25">
      <c r="H18" s="24" t="str" cm="1">
        <f t="array" aca="1" ref="H18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8" s="56" t="str" cm="1">
        <f t="array" aca="1" ref="I18" ca="1">IF(
AND(NOT(ISBLANK(H18)),
NOT(ISERROR(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/24))),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/24,
"")</f>
        <v/>
      </c>
      <c r="J18" s="56" t="str" cm="1">
        <f t="array" aca="1" ref="J18" ca="1">IF(AND(
NOT(ISBLANK(H18)),
NOT(ISERROR(_xlfn._xlws.FILTER(_xlfn._xlws.FILTER(Courses!$B$2:$P$46, IF(NOT(ISERROR(SEARCH(H18, Courses!$B$2:$B$46, 1))), TRUE, FALSE)), {0,0,0,0,0,0,0,0,0,0,0,0,1,0,0})
/E$6
/24))),
_xlfn._xlws.FILTER(_xlfn._xlws.FILTER(Courses!$B$2:$P$46, IF(NOT(ISERROR(SEARCH(H18, Courses!$B$2:$B$46, 1))), TRUE, FALSE)), {0,0,0,0,0,0,0,0,0,0,0,0,1,0,0})
/E$6
/24,
"")</f>
        <v/>
      </c>
    </row>
    <row r="19" spans="8:10" x14ac:dyDescent="0.25">
      <c r="H19" s="24" t="str" cm="1">
        <f t="array" aca="1" ref="H19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9" s="56" t="str" cm="1">
        <f t="array" aca="1" ref="I19" ca="1">IF(
AND(NOT(ISBLANK(H19)),
NOT(ISERROR(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/24))),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/24,
"")</f>
        <v/>
      </c>
      <c r="J19" s="56" t="str" cm="1">
        <f t="array" aca="1" ref="J19" ca="1">IF(AND(
NOT(ISBLANK(H19)),
NOT(ISERROR(_xlfn._xlws.FILTER(_xlfn._xlws.FILTER(Courses!$B$2:$P$46, IF(NOT(ISERROR(SEARCH(H19, Courses!$B$2:$B$46, 1))), TRUE, FALSE)), {0,0,0,0,0,0,0,0,0,0,0,0,1,0,0})
/E$6
/24))),
_xlfn._xlws.FILTER(_xlfn._xlws.FILTER(Courses!$B$2:$P$46, IF(NOT(ISERROR(SEARCH(H19, Courses!$B$2:$B$46, 1))), TRUE, FALSE)), {0,0,0,0,0,0,0,0,0,0,0,0,1,0,0})
/E$6
/24,
"")</f>
        <v/>
      </c>
    </row>
    <row r="20" spans="8:10" x14ac:dyDescent="0.25">
      <c r="H20" s="24"/>
      <c r="I20" s="56"/>
      <c r="J20" s="56"/>
    </row>
    <row r="21" spans="8:10" x14ac:dyDescent="0.25">
      <c r="H21" s="24"/>
      <c r="I21" s="56"/>
      <c r="J21" s="56"/>
    </row>
    <row r="22" spans="8:10" x14ac:dyDescent="0.25">
      <c r="H22" s="24"/>
      <c r="I22" s="56"/>
      <c r="J22" s="56"/>
    </row>
    <row r="23" spans="8:10" x14ac:dyDescent="0.25">
      <c r="H23" s="24"/>
      <c r="I23" s="56"/>
      <c r="J23" s="56"/>
    </row>
    <row r="24" spans="8:10" x14ac:dyDescent="0.25">
      <c r="H24" s="24"/>
      <c r="I24" s="56"/>
      <c r="J24" s="56"/>
    </row>
    <row r="25" spans="8:10" x14ac:dyDescent="0.25">
      <c r="H25" s="24"/>
      <c r="I25" s="56"/>
      <c r="J25" s="56"/>
    </row>
    <row r="26" spans="8:10" x14ac:dyDescent="0.25">
      <c r="H26" s="24"/>
      <c r="I26" s="56"/>
      <c r="J26" s="56"/>
    </row>
    <row r="27" spans="8:10" x14ac:dyDescent="0.25">
      <c r="H27" s="24"/>
      <c r="I27" s="56"/>
      <c r="J27" s="56"/>
    </row>
    <row r="28" spans="8:10" x14ac:dyDescent="0.25">
      <c r="H28" s="24"/>
      <c r="I28" s="56"/>
      <c r="J28" s="56"/>
    </row>
    <row r="29" spans="8:10" x14ac:dyDescent="0.25">
      <c r="H29" s="24"/>
      <c r="I29" s="56"/>
      <c r="J29" s="56"/>
    </row>
    <row r="30" spans="8:10" x14ac:dyDescent="0.25">
      <c r="H30" s="24"/>
      <c r="I30" s="56"/>
      <c r="J30" s="56"/>
    </row>
    <row r="31" spans="8:10" x14ac:dyDescent="0.25">
      <c r="H31" s="24"/>
      <c r="I31" s="56"/>
      <c r="J31" s="56"/>
    </row>
    <row r="32" spans="8:10" x14ac:dyDescent="0.25">
      <c r="H32" s="24"/>
      <c r="I32" s="56"/>
    </row>
  </sheetData>
  <conditionalFormatting sqref="C4">
    <cfRule type="colorScale" priority="19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25" priority="18">
      <formula>$C$4="Q1"</formula>
    </cfRule>
  </conditionalFormatting>
  <conditionalFormatting sqref="C8 C4:D7">
    <cfRule type="expression" dxfId="24" priority="15">
      <formula>$C$4="Q4"</formula>
    </cfRule>
  </conditionalFormatting>
  <conditionalFormatting sqref="C8 C4:D7">
    <cfRule type="expression" dxfId="23" priority="16">
      <formula>$C$4="Q3"</formula>
    </cfRule>
  </conditionalFormatting>
  <conditionalFormatting sqref="C8 C4:D7">
    <cfRule type="expression" dxfId="22" priority="17">
      <formula>$C$4="Q2"</formula>
    </cfRule>
  </conditionalFormatting>
  <conditionalFormatting sqref="I5:I32">
    <cfRule type="colorScale" priority="2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1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2:P50"/>
  <sheetViews>
    <sheetView zoomScale="70" zoomScaleNormal="85" workbookViewId="0">
      <selection activeCell="G6" sqref="G6"/>
    </sheetView>
  </sheetViews>
  <sheetFormatPr defaultRowHeight="14.3" x14ac:dyDescent="0.25"/>
  <cols>
    <col min="1" max="1" width="3" style="1" customWidth="1"/>
    <col min="2" max="2" width="55" style="1" customWidth="1"/>
    <col min="3" max="3" width="14.75" style="1" customWidth="1"/>
    <col min="4" max="4" width="10.125" style="1" customWidth="1"/>
    <col min="5" max="6" width="18.125" style="1" customWidth="1"/>
    <col min="7" max="7" width="17.625" style="1" customWidth="1"/>
    <col min="8" max="8" width="11.75" style="1" customWidth="1"/>
    <col min="9" max="9" width="8" style="1" customWidth="1"/>
    <col min="10" max="10" width="55" style="1" customWidth="1"/>
    <col min="11" max="11" width="14.75" style="1" customWidth="1"/>
    <col min="12" max="12" width="7.875" style="1" customWidth="1"/>
    <col min="13" max="14" width="18.125" style="1" customWidth="1"/>
    <col min="15" max="15" width="22" style="1" customWidth="1"/>
    <col min="16" max="16" width="11.75" style="1" customWidth="1"/>
    <col min="17" max="18" width="8.875" style="1" customWidth="1"/>
    <col min="19" max="16384" width="9" style="1"/>
  </cols>
  <sheetData>
    <row r="2" spans="2:16" ht="14.3" customHeight="1" x14ac:dyDescent="0.25">
      <c r="B2" s="16" t="s">
        <v>95</v>
      </c>
      <c r="C2" s="17">
        <f>SUMPRODUCT(Modules!B1:B27, Modules!C1:C27)/SUM(Modules!C1:C27)</f>
        <v>0</v>
      </c>
      <c r="E2" s="66" t="s">
        <v>101</v>
      </c>
      <c r="F2" s="67"/>
      <c r="G2" s="63">
        <v>1</v>
      </c>
    </row>
    <row r="3" spans="2:16" ht="14.3" customHeight="1" x14ac:dyDescent="0.25">
      <c r="B3" s="18" t="s">
        <v>76</v>
      </c>
      <c r="C3" s="19" t="e" cm="1" vm="1">
        <f t="array" ref="C3">SUMPRODUCT(_xlfn._xlws.FILTER(_xlfn._xlws.FILTER(Modules!B2:C28, (Modules!B2:B28&gt;0)*(Modules!E2:E28)), {1,0}), _xlfn._xlws.FILTER(_xlfn._xlws.FILTER(Modules!B2:C28, (Modules!B2:B28&gt;0)*(Modules!E2:E28)), {0,1}))/SUM(_xlfn._xlws.FILTER(_xlfn._xlws.FILTER(Modules!B2:C28, (Modules!B2:B28&gt;0)*(Modules!E2:E28)), {0,1}))</f>
        <v>#VALUE!</v>
      </c>
      <c r="E3" s="68"/>
      <c r="F3" s="69"/>
      <c r="G3" s="64"/>
    </row>
    <row r="4" spans="2:16" ht="14.3" customHeight="1" x14ac:dyDescent="0.25">
      <c r="B4" s="20" t="s">
        <v>99</v>
      </c>
      <c r="C4" s="21">
        <f>C2+SUM(_xlfn.ANCHORARRAY('Dashboard - Overview'!K4))</f>
        <v>6.9999999999999982</v>
      </c>
      <c r="E4" s="68"/>
      <c r="F4" s="69"/>
      <c r="G4" s="64"/>
    </row>
    <row r="5" spans="2:16" ht="14.3" customHeight="1" x14ac:dyDescent="0.25">
      <c r="B5" s="22" t="s">
        <v>100</v>
      </c>
      <c r="C5" s="23">
        <f>C2+SUM(_xlfn.ANCHORARRAY('Dashboard - Overview'!J4))</f>
        <v>9</v>
      </c>
      <c r="E5" s="70"/>
      <c r="F5" s="71"/>
      <c r="G5" s="65"/>
    </row>
    <row r="6" spans="2:16" ht="14.3" customHeight="1" x14ac:dyDescent="0.25">
      <c r="B6" s="24"/>
      <c r="C6" s="25"/>
      <c r="E6" s="26"/>
      <c r="F6" s="26"/>
      <c r="G6" s="26"/>
    </row>
    <row r="7" spans="2:16" ht="14.3" customHeight="1" x14ac:dyDescent="0.25">
      <c r="B7" s="24"/>
      <c r="C7" s="25"/>
      <c r="E7" s="26"/>
      <c r="F7" s="26"/>
      <c r="G7" s="26"/>
    </row>
    <row r="8" spans="2:16" ht="14.3" customHeight="1" x14ac:dyDescent="0.25"/>
    <row r="9" spans="2:16" x14ac:dyDescent="0.25">
      <c r="B9" s="62" t="s">
        <v>90</v>
      </c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</row>
    <row r="11" spans="2:16" x14ac:dyDescent="0.25">
      <c r="B11" s="27" t="s">
        <v>91</v>
      </c>
      <c r="C11" s="27" t="s">
        <v>86</v>
      </c>
      <c r="D11" s="27" t="s">
        <v>26</v>
      </c>
      <c r="E11" s="28" t="s">
        <v>102</v>
      </c>
      <c r="F11" s="27" t="s">
        <v>87</v>
      </c>
      <c r="G11" s="29" t="s">
        <v>98</v>
      </c>
      <c r="H11" s="29" t="s">
        <v>62</v>
      </c>
      <c r="I11" s="30"/>
      <c r="J11" s="31" t="s">
        <v>88</v>
      </c>
      <c r="K11" s="31" t="s">
        <v>86</v>
      </c>
      <c r="L11" s="31" t="s">
        <v>26</v>
      </c>
      <c r="M11" s="32" t="s">
        <v>102</v>
      </c>
      <c r="N11" s="31" t="s">
        <v>87</v>
      </c>
      <c r="O11" s="31" t="s">
        <v>98</v>
      </c>
      <c r="P11" s="31" t="s">
        <v>62</v>
      </c>
    </row>
    <row r="12" spans="2:16" x14ac:dyDescent="0.25">
      <c r="B12" s="1" t="str" cm="1">
        <f t="array" ref="B12:H16">IF(NOT(ISERROR(_xlfn._xlws.FILTER(_xlfn._xlws.FILTER(Courses!B2:O46,(Courses!C2:C46=1)*((Courses!G2:G46=1)+ISBLANK(Courses!D2:D46))*((IF(ISTEXT(Courses!O2:O46),G2=3,Courses!O2:O46&lt;=G2)))),{1,0,1,1,0,0,0,1,0,0,1,0,1,1}))), _xlfn._xlws.FILTER(_xlfn._xlws.FILTER(Courses!B2:O46, (Courses!C2:C46=1)*((Courses!G2:G46=1)+ISBLANK(Courses!D2:D46))*(IF(ISTEXT(Courses!O2:O46),G2=3,Courses!O2:O46&lt;=G2))),{1,0,1,1,0,0,0,1,0,0,1,0,1,1}), "None")</f>
        <v>AE1110-I Introduction to Aerospace Engineering I</v>
      </c>
      <c r="C12" s="1">
        <v>0</v>
      </c>
      <c r="D12" s="1">
        <v>5</v>
      </c>
      <c r="E12" s="33">
        <v>9</v>
      </c>
      <c r="F12" s="33">
        <v>7</v>
      </c>
      <c r="G12" s="34">
        <v>98</v>
      </c>
      <c r="H12" s="35">
        <v>1</v>
      </c>
      <c r="J12" s="1" t="str" cm="1">
        <f t="array" ref="J12:P14">IF(NOT(ISERROR(_xlfn._xlws.FILTER(_xlfn._xlws.FILTER(Courses!B2:O46,(Courses!C2:C46=3)*((Courses!G2:G46=1)+ISBLANK(Courses!D2:D46))*((IF(ISTEXT(Courses!O2:O46),G2=3,Courses!O2:O46&lt;=G2)))),{1,0,1,1,0,0,0,1,0,0,1,0,1,1}))), _xlfn._xlws.FILTER(_xlfn._xlws.FILTER(Courses!B2:O46, (Courses!C2:C46=3)*((Courses!G2:G46=1)+ISBLANK(Courses!D2:D46))*(IF(ISTEXT(Courses!O2:O46),G2=3,Courses!O2:O46&lt;=G2))),{1,0,1,1,0,0,0,1,0,0,1,0,1,1}), "None")</f>
        <v>WI1420LR Calculus II</v>
      </c>
      <c r="K12" s="1">
        <v>0</v>
      </c>
      <c r="L12" s="1">
        <v>5</v>
      </c>
      <c r="M12" s="33">
        <v>9</v>
      </c>
      <c r="N12" s="33">
        <v>7</v>
      </c>
      <c r="O12" s="34">
        <v>98</v>
      </c>
      <c r="P12" s="35">
        <v>1</v>
      </c>
    </row>
    <row r="13" spans="2:16" x14ac:dyDescent="0.25">
      <c r="B13" s="1" t="str">
        <v>AE1130-I Statics</v>
      </c>
      <c r="C13" s="1">
        <v>0</v>
      </c>
      <c r="D13" s="1">
        <v>4</v>
      </c>
      <c r="E13" s="33">
        <v>9</v>
      </c>
      <c r="F13" s="36">
        <v>7</v>
      </c>
      <c r="G13" s="1">
        <v>78.400000000000006</v>
      </c>
      <c r="H13" s="35">
        <v>1</v>
      </c>
      <c r="J13" s="1" t="str">
        <v>AE1222-II Aerospace Design and Systems Engineering Elements I</v>
      </c>
      <c r="K13" s="1">
        <v>0</v>
      </c>
      <c r="L13" s="1">
        <v>4</v>
      </c>
      <c r="M13" s="33">
        <v>9</v>
      </c>
      <c r="N13" s="33">
        <v>7</v>
      </c>
      <c r="O13" s="34">
        <v>78.400000000000006</v>
      </c>
      <c r="P13" s="35">
        <v>1</v>
      </c>
    </row>
    <row r="14" spans="2:16" x14ac:dyDescent="0.25">
      <c r="B14" s="1" t="str">
        <v>WI1421LR Calculus I-A</v>
      </c>
      <c r="C14" s="1">
        <v>0</v>
      </c>
      <c r="D14" s="1">
        <v>3</v>
      </c>
      <c r="E14" s="33">
        <v>9</v>
      </c>
      <c r="F14" s="36">
        <v>7</v>
      </c>
      <c r="G14" s="1">
        <v>58.8</v>
      </c>
      <c r="H14" s="35">
        <v>1</v>
      </c>
      <c r="J14" s="1" t="str">
        <v>AE1222-I Design &amp; Construction</v>
      </c>
      <c r="K14" s="1">
        <v>0</v>
      </c>
      <c r="L14" s="1">
        <v>5</v>
      </c>
      <c r="M14" s="33">
        <v>9</v>
      </c>
      <c r="N14" s="33">
        <v>7</v>
      </c>
      <c r="O14" s="34">
        <v>98</v>
      </c>
      <c r="P14" s="35">
        <v>1</v>
      </c>
    </row>
    <row r="15" spans="2:16" x14ac:dyDescent="0.25">
      <c r="B15" s="1" t="str">
        <v>AE1111-I Exploring Aerospace Engineering</v>
      </c>
      <c r="C15" s="1">
        <v>0</v>
      </c>
      <c r="D15" s="1">
        <v>3</v>
      </c>
      <c r="E15" s="33">
        <v>9</v>
      </c>
      <c r="F15" s="36">
        <v>7</v>
      </c>
      <c r="G15" s="1">
        <v>58.8</v>
      </c>
      <c r="H15" s="35">
        <v>1</v>
      </c>
      <c r="M15" s="33"/>
      <c r="N15" s="33"/>
      <c r="O15" s="34"/>
      <c r="P15" s="35"/>
    </row>
    <row r="16" spans="2:16" x14ac:dyDescent="0.25">
      <c r="B16" s="37" t="str">
        <v>AE1111-II Engineering Drawing</v>
      </c>
      <c r="C16" s="1">
        <v>0</v>
      </c>
      <c r="D16" s="1">
        <v>2</v>
      </c>
      <c r="E16" s="33">
        <v>9</v>
      </c>
      <c r="F16" s="33">
        <v>7</v>
      </c>
      <c r="G16" s="34">
        <v>39.200000000000003</v>
      </c>
      <c r="H16" s="35">
        <v>1</v>
      </c>
      <c r="J16" s="37"/>
      <c r="M16" s="33"/>
      <c r="N16" s="33"/>
      <c r="O16" s="34"/>
      <c r="P16" s="35"/>
    </row>
    <row r="17" spans="2:16" x14ac:dyDescent="0.25">
      <c r="B17" s="37"/>
      <c r="E17" s="33"/>
      <c r="F17" s="33"/>
      <c r="G17" s="34"/>
      <c r="H17" s="35"/>
      <c r="M17" s="33"/>
      <c r="N17" s="33"/>
      <c r="O17" s="34"/>
      <c r="P17" s="35"/>
    </row>
    <row r="18" spans="2:16" x14ac:dyDescent="0.25">
      <c r="B18" s="37"/>
      <c r="E18" s="33"/>
      <c r="F18" s="33"/>
      <c r="G18" s="34"/>
      <c r="H18" s="35"/>
      <c r="M18" s="33"/>
      <c r="N18" s="33"/>
      <c r="O18" s="34"/>
      <c r="P18" s="35"/>
    </row>
    <row r="19" spans="2:16" x14ac:dyDescent="0.25">
      <c r="B19" s="37"/>
      <c r="E19" s="33"/>
      <c r="F19" s="33"/>
      <c r="G19" s="34"/>
      <c r="H19" s="35"/>
      <c r="M19" s="33"/>
      <c r="N19" s="33"/>
      <c r="O19" s="34"/>
      <c r="P19" s="35"/>
    </row>
    <row r="20" spans="2:16" x14ac:dyDescent="0.25">
      <c r="B20" s="37"/>
      <c r="E20" s="33"/>
      <c r="F20" s="33"/>
      <c r="G20" s="34"/>
      <c r="H20" s="35"/>
      <c r="M20" s="33"/>
      <c r="N20" s="33"/>
      <c r="O20" s="34"/>
      <c r="P20" s="35"/>
    </row>
    <row r="21" spans="2:16" x14ac:dyDescent="0.25">
      <c r="B21" s="37"/>
      <c r="E21" s="33"/>
      <c r="F21" s="33"/>
      <c r="G21" s="34"/>
      <c r="H21" s="35"/>
      <c r="M21" s="33"/>
      <c r="N21" s="33"/>
      <c r="O21" s="34"/>
      <c r="P21" s="35"/>
    </row>
    <row r="22" spans="2:16" x14ac:dyDescent="0.25">
      <c r="B22" s="37"/>
      <c r="E22" s="33"/>
      <c r="F22" s="33"/>
      <c r="G22" s="34"/>
      <c r="H22" s="35"/>
      <c r="M22" s="33"/>
      <c r="N22" s="33"/>
      <c r="O22" s="34"/>
      <c r="P22" s="35"/>
    </row>
    <row r="23" spans="2:16" x14ac:dyDescent="0.25">
      <c r="B23" s="37"/>
      <c r="E23" s="33"/>
      <c r="F23" s="33"/>
      <c r="G23" s="34"/>
      <c r="H23" s="35"/>
      <c r="M23" s="33"/>
      <c r="N23" s="33"/>
      <c r="O23" s="34"/>
      <c r="P23" s="35"/>
    </row>
    <row r="24" spans="2:16" x14ac:dyDescent="0.25">
      <c r="B24" s="37"/>
      <c r="E24" s="33"/>
      <c r="F24" s="33"/>
      <c r="G24" s="34"/>
      <c r="H24" s="35"/>
      <c r="M24" s="33"/>
      <c r="N24" s="33"/>
      <c r="O24" s="34"/>
      <c r="P24" s="35"/>
    </row>
    <row r="25" spans="2:16" x14ac:dyDescent="0.25">
      <c r="B25" s="37"/>
      <c r="E25" s="33"/>
      <c r="F25" s="33"/>
      <c r="G25" s="34"/>
      <c r="H25" s="35"/>
      <c r="M25" s="33"/>
      <c r="N25" s="33"/>
      <c r="O25" s="34"/>
      <c r="P25" s="35"/>
    </row>
    <row r="26" spans="2:16" x14ac:dyDescent="0.25">
      <c r="B26" s="37"/>
      <c r="E26" s="33"/>
      <c r="F26" s="33"/>
      <c r="G26" s="34"/>
      <c r="H26" s="35"/>
      <c r="M26" s="33"/>
      <c r="N26" s="33"/>
      <c r="O26" s="34"/>
      <c r="P26" s="35"/>
    </row>
    <row r="27" spans="2:16" x14ac:dyDescent="0.25">
      <c r="E27" s="33"/>
      <c r="F27" s="33"/>
      <c r="G27" s="34"/>
      <c r="H27" s="35"/>
      <c r="M27" s="33"/>
      <c r="N27" s="33"/>
      <c r="O27" s="34"/>
      <c r="P27" s="35"/>
    </row>
    <row r="28" spans="2:16" x14ac:dyDescent="0.25">
      <c r="B28" s="38" t="s">
        <v>92</v>
      </c>
      <c r="C28" s="38" t="s">
        <v>86</v>
      </c>
      <c r="D28" s="38" t="s">
        <v>26</v>
      </c>
      <c r="E28" s="39" t="s">
        <v>102</v>
      </c>
      <c r="F28" s="38" t="s">
        <v>87</v>
      </c>
      <c r="G28" s="40" t="s">
        <v>98</v>
      </c>
      <c r="H28" s="40" t="s">
        <v>62</v>
      </c>
      <c r="I28" s="30"/>
      <c r="J28" s="41" t="s">
        <v>89</v>
      </c>
      <c r="K28" s="41" t="s">
        <v>86</v>
      </c>
      <c r="L28" s="41" t="s">
        <v>26</v>
      </c>
      <c r="M28" s="42" t="s">
        <v>102</v>
      </c>
      <c r="N28" s="41" t="s">
        <v>87</v>
      </c>
      <c r="O28" s="43" t="s">
        <v>98</v>
      </c>
      <c r="P28" s="43" t="s">
        <v>62</v>
      </c>
    </row>
    <row r="29" spans="2:16" x14ac:dyDescent="0.25">
      <c r="B29" s="1" t="str" cm="1">
        <f t="array" ref="B29:H32">IF(NOT(ISERROR(_xlfn._xlws.FILTER(_xlfn._xlws.FILTER(Courses!B2:O46,(Courses!C2:C46=2)*((Courses!G2:G46=1)+ISBLANK(Courses!D2:D46))*((IF(ISTEXT(Courses!O2:O46),G2=3,Courses!O2:O46&lt;=G2)))),{1,0,1,1,0,0,0,1,0,0,1,0,1,1}))), _xlfn._xlws.FILTER(_xlfn._xlws.FILTER(Courses!B2:O46, (Courses!C2:C46=2)*((Courses!G2:G46=1)+ISBLANK(Courses!D2:D46))*(IF(ISTEXT(Courses!O2:O46),G2=3,Courses!O2:O46&lt;=G2))),{1,0,1,1,0,0,0,1,0,0,1,0,1,1}), "None")</f>
        <v>AE1110-II Introduction to Aerospace Engineering II</v>
      </c>
      <c r="C29" s="1">
        <v>0</v>
      </c>
      <c r="D29" s="1">
        <v>4</v>
      </c>
      <c r="E29" s="33">
        <v>9</v>
      </c>
      <c r="F29" s="33">
        <v>7</v>
      </c>
      <c r="G29" s="34">
        <v>78.400000000000006</v>
      </c>
      <c r="H29" s="35">
        <v>1</v>
      </c>
      <c r="J29" s="37" t="str" cm="1">
        <f t="array" ref="J29:P33">IF(NOT(ISERROR(_xlfn._xlws.FILTER(_xlfn._xlws.FILTER(Courses!B2:O46,(Courses!C2:C46=4)*((Courses!G2:G46=1)+ISBLANK(Courses!D2:D46))*((IF(ISTEXT(Courses!O2:O46),G2=3,Courses!O2:O46&lt;=G2)))),{1,0,1,1,0,0,0,1,0,0,1,0,1,1}))), _xlfn._xlws.FILTER(_xlfn._xlws.FILTER(Courses!B2:O46, (Courses!C2:C46=4)*((Courses!G2:G46=1)+ISBLANK(Courses!D2:D46))*(IF(ISTEXT(Courses!O2:O46),G2=3,Courses!O2:O46&lt;=G2))),{1,0,1,1,0,0,0,1,0,0,1,0,1,1}), "None")</f>
        <v>WI1403LR Linear Algebra</v>
      </c>
      <c r="K29" s="1">
        <v>0</v>
      </c>
      <c r="L29" s="1">
        <v>5</v>
      </c>
      <c r="M29" s="33">
        <v>9</v>
      </c>
      <c r="N29" s="33">
        <v>7</v>
      </c>
      <c r="O29" s="34">
        <v>98</v>
      </c>
      <c r="P29" s="35">
        <v>1</v>
      </c>
    </row>
    <row r="30" spans="2:16" x14ac:dyDescent="0.25">
      <c r="B30" s="1" t="str">
        <v>WI1421LR Calculus I-B</v>
      </c>
      <c r="C30" s="1">
        <v>0</v>
      </c>
      <c r="D30" s="1">
        <v>3</v>
      </c>
      <c r="E30" s="33">
        <v>9</v>
      </c>
      <c r="F30" s="36">
        <v>7</v>
      </c>
      <c r="G30" s="1">
        <v>58.8</v>
      </c>
      <c r="H30" s="35">
        <v>1</v>
      </c>
      <c r="J30" s="37" t="str">
        <v>AE1108-II Aerospace Mechanics of Materials</v>
      </c>
      <c r="K30" s="1">
        <v>0</v>
      </c>
      <c r="L30" s="1">
        <v>3</v>
      </c>
      <c r="M30" s="33">
        <v>9</v>
      </c>
      <c r="N30" s="33">
        <v>7</v>
      </c>
      <c r="O30" s="34">
        <v>58.8</v>
      </c>
      <c r="P30" s="35">
        <v>1</v>
      </c>
    </row>
    <row r="31" spans="2:16" x14ac:dyDescent="0.25">
      <c r="B31" s="1" t="str">
        <v>AE1130-II Dynamics</v>
      </c>
      <c r="C31" s="1">
        <v>0</v>
      </c>
      <c r="D31" s="1">
        <v>3</v>
      </c>
      <c r="E31" s="33">
        <v>9</v>
      </c>
      <c r="F31" s="36">
        <v>7</v>
      </c>
      <c r="G31" s="1">
        <v>58.8</v>
      </c>
      <c r="H31" s="35">
        <v>1</v>
      </c>
      <c r="J31" s="37" t="str">
        <v>AE1240-II Waves and Electromagnetism</v>
      </c>
      <c r="K31" s="1">
        <v>0</v>
      </c>
      <c r="L31" s="1">
        <v>3</v>
      </c>
      <c r="M31" s="33">
        <v>9</v>
      </c>
      <c r="N31" s="33">
        <v>7</v>
      </c>
      <c r="O31" s="34">
        <v>58.8</v>
      </c>
      <c r="P31" s="35">
        <v>1</v>
      </c>
    </row>
    <row r="32" spans="2:16" x14ac:dyDescent="0.25">
      <c r="B32" s="1" t="str">
        <v>AE1108-I Aerospace Materials</v>
      </c>
      <c r="C32" s="34">
        <v>0</v>
      </c>
      <c r="D32" s="1">
        <v>3</v>
      </c>
      <c r="E32" s="33">
        <v>9</v>
      </c>
      <c r="F32" s="33">
        <v>7</v>
      </c>
      <c r="G32" s="1">
        <v>58.8</v>
      </c>
      <c r="H32" s="35">
        <v>1</v>
      </c>
      <c r="J32" s="37" t="str">
        <v>AE1240-I Thermodynamics</v>
      </c>
      <c r="K32" s="1">
        <v>0</v>
      </c>
      <c r="L32" s="34">
        <v>3</v>
      </c>
      <c r="M32" s="36">
        <v>9</v>
      </c>
      <c r="N32" s="33">
        <v>7</v>
      </c>
      <c r="O32" s="1">
        <v>58.8</v>
      </c>
      <c r="P32" s="35">
        <v>1</v>
      </c>
    </row>
    <row r="33" spans="2:16" x14ac:dyDescent="0.25">
      <c r="D33" s="34"/>
      <c r="E33" s="36"/>
      <c r="F33" s="33"/>
      <c r="H33" s="35"/>
      <c r="J33" s="1" t="str">
        <v>AE1205 Programming and Scientific Computing in Python for AE1</v>
      </c>
      <c r="K33" s="1">
        <v>0</v>
      </c>
      <c r="L33" s="34">
        <v>2</v>
      </c>
      <c r="M33" s="36">
        <v>9</v>
      </c>
      <c r="N33" s="33">
        <v>7</v>
      </c>
      <c r="O33" s="1">
        <v>39.200000000000003</v>
      </c>
      <c r="P33" s="35">
        <v>1</v>
      </c>
    </row>
    <row r="34" spans="2:16" x14ac:dyDescent="0.25">
      <c r="D34" s="34"/>
      <c r="E34" s="36"/>
      <c r="F34" s="33"/>
      <c r="H34" s="35"/>
      <c r="M34" s="33"/>
      <c r="N34" s="33"/>
      <c r="P34" s="35"/>
    </row>
    <row r="35" spans="2:16" x14ac:dyDescent="0.25">
      <c r="E35" s="33"/>
      <c r="F35" s="33"/>
      <c r="H35" s="35"/>
      <c r="K35" s="30"/>
      <c r="M35" s="33"/>
      <c r="N35" s="33"/>
      <c r="P35" s="35"/>
    </row>
    <row r="36" spans="2:16" x14ac:dyDescent="0.25">
      <c r="E36" s="33"/>
      <c r="F36" s="33"/>
      <c r="H36" s="35"/>
      <c r="M36" s="33"/>
      <c r="N36" s="33"/>
      <c r="P36" s="35"/>
    </row>
    <row r="37" spans="2:16" x14ac:dyDescent="0.25">
      <c r="E37" s="33"/>
      <c r="F37" s="33"/>
      <c r="H37" s="35"/>
      <c r="J37" s="37"/>
      <c r="M37" s="33"/>
      <c r="N37" s="33"/>
      <c r="P37" s="35"/>
    </row>
    <row r="38" spans="2:16" x14ac:dyDescent="0.25">
      <c r="E38" s="33"/>
      <c r="F38" s="33"/>
      <c r="H38" s="35"/>
      <c r="J38" s="37"/>
      <c r="M38" s="33"/>
      <c r="N38" s="33"/>
      <c r="P38" s="35"/>
    </row>
    <row r="39" spans="2:16" x14ac:dyDescent="0.25">
      <c r="B39" s="37"/>
      <c r="E39" s="33"/>
      <c r="F39" s="33"/>
      <c r="H39" s="35"/>
      <c r="M39" s="33"/>
      <c r="N39" s="33"/>
      <c r="P39" s="35"/>
    </row>
    <row r="40" spans="2:16" x14ac:dyDescent="0.25">
      <c r="E40" s="33"/>
      <c r="F40" s="33"/>
      <c r="H40" s="35"/>
      <c r="M40" s="33"/>
      <c r="N40" s="33"/>
      <c r="P40" s="35"/>
    </row>
    <row r="41" spans="2:16" x14ac:dyDescent="0.25">
      <c r="E41" s="33"/>
      <c r="F41" s="33"/>
      <c r="H41" s="35"/>
      <c r="M41" s="33"/>
      <c r="N41" s="33"/>
      <c r="P41" s="35"/>
    </row>
    <row r="42" spans="2:16" x14ac:dyDescent="0.25">
      <c r="E42" s="33"/>
      <c r="F42" s="33"/>
      <c r="H42" s="35"/>
      <c r="M42" s="33"/>
      <c r="N42" s="33"/>
      <c r="P42" s="35"/>
    </row>
    <row r="43" spans="2:16" x14ac:dyDescent="0.25">
      <c r="E43" s="33"/>
      <c r="H43" s="35"/>
      <c r="M43" s="33"/>
      <c r="P43" s="35"/>
    </row>
    <row r="44" spans="2:16" x14ac:dyDescent="0.25">
      <c r="E44" s="33"/>
      <c r="H44" s="35"/>
      <c r="M44" s="33"/>
      <c r="P44" s="35"/>
    </row>
    <row r="45" spans="2:16" x14ac:dyDescent="0.25">
      <c r="H45" s="35"/>
      <c r="P45" s="35"/>
    </row>
    <row r="50" spans="3:3" ht="14.95" x14ac:dyDescent="0.3">
      <c r="C50" s="44"/>
    </row>
  </sheetData>
  <mergeCells count="3">
    <mergeCell ref="B9:P9"/>
    <mergeCell ref="G2:G5"/>
    <mergeCell ref="E2:F5"/>
  </mergeCells>
  <conditionalFormatting sqref="F12:F27 F29:F44 N12:N27 N29:N44">
    <cfRule type="colorScale" priority="25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P12:P26 P29:P31 N32:N33 H16:H26 G13:G15 H12 H29 G30:G31 F33:F36 D32:E32 P39 H37:H38">
    <cfRule type="expression" dxfId="21" priority="22">
      <formula>D12=3</formula>
    </cfRule>
  </conditionalFormatting>
  <conditionalFormatting sqref="E12:E27 E29:E44 M12:M27 M29:M44">
    <cfRule type="colorScale" priority="19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17 G29:G34 O29:O34 O12:O17">
    <cfRule type="colorScale" priority="68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18 P12:P17 H29:H35 P29:P35">
    <cfRule type="expression" dxfId="20" priority="20">
      <formula>H12=1</formula>
    </cfRule>
  </conditionalFormatting>
  <conditionalFormatting sqref="H12:H17 P12:P17 H29:H34 P29:P34">
    <cfRule type="expression" dxfId="19" priority="21">
      <formula>H12=2</formula>
    </cfRule>
  </conditionalFormatting>
  <conditionalFormatting sqref="L3">
    <cfRule type="expression" dxfId="18" priority="10">
      <formula>L3="AE Year 1"</formula>
    </cfRule>
    <cfRule type="expression" dxfId="17" priority="11">
      <formula>L3="AE Year 2"</formula>
    </cfRule>
    <cfRule type="expression" dxfId="16" priority="12">
      <formula>L3="AE Year 3"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DF284-ABC5-43B3-9938-DCA85AF3F1D5}">
  <sheetPr codeName="Sheet2"/>
  <dimension ref="B2:K48"/>
  <sheetViews>
    <sheetView workbookViewId="0">
      <selection activeCell="B19" sqref="B19"/>
    </sheetView>
  </sheetViews>
  <sheetFormatPr defaultRowHeight="14.3" x14ac:dyDescent="0.25"/>
  <cols>
    <col min="1" max="1" width="9" style="1"/>
    <col min="2" max="2" width="55.75" style="1" customWidth="1"/>
    <col min="3" max="3" width="10.5" style="1" customWidth="1"/>
    <col min="4" max="4" width="13" style="1" customWidth="1"/>
    <col min="5" max="5" width="10.125" style="1" customWidth="1"/>
    <col min="6" max="6" width="14.375" style="1" customWidth="1"/>
    <col min="7" max="7" width="11" style="1" customWidth="1"/>
    <col min="8" max="8" width="9" style="1"/>
    <col min="9" max="9" width="55.75" style="1" customWidth="1"/>
    <col min="10" max="10" width="20.5" style="1" customWidth="1"/>
    <col min="11" max="11" width="18.875" style="1" customWidth="1"/>
    <col min="12" max="16384" width="9" style="1"/>
  </cols>
  <sheetData>
    <row r="2" spans="2:11" x14ac:dyDescent="0.25">
      <c r="B2" s="62" t="s">
        <v>118</v>
      </c>
      <c r="C2" s="62"/>
      <c r="D2" s="62"/>
      <c r="E2" s="62"/>
      <c r="F2" s="62"/>
      <c r="G2" s="62"/>
      <c r="I2" s="62" t="s">
        <v>93</v>
      </c>
      <c r="J2" s="62"/>
      <c r="K2" s="62"/>
    </row>
    <row r="3" spans="2:11" x14ac:dyDescent="0.25">
      <c r="B3" s="5" t="s">
        <v>74</v>
      </c>
      <c r="C3" s="52" t="s">
        <v>60</v>
      </c>
      <c r="D3" s="52" t="s">
        <v>86</v>
      </c>
      <c r="E3" s="52" t="s">
        <v>26</v>
      </c>
      <c r="F3" s="52" t="s">
        <v>87</v>
      </c>
      <c r="G3" s="52" t="s">
        <v>98</v>
      </c>
      <c r="I3" s="5" t="s">
        <v>25</v>
      </c>
      <c r="J3" s="5" t="s">
        <v>81</v>
      </c>
      <c r="K3" s="5" t="s">
        <v>82</v>
      </c>
    </row>
    <row r="4" spans="2:11" x14ac:dyDescent="0.25">
      <c r="B4" s="1" t="str" cm="1">
        <f t="array" ref="B4:G48">_xlfn._xlws.FILTER(_xlfn._xlws.FILTER(Courses!B2:P46,(ISBLANK(Courses!D2:D46)+(Courses!G2:G46=1))),{1,1,1,1,0,0,0,0,0,0,1,0,1,0,0})</f>
        <v>WI1403LR Linear Algebra</v>
      </c>
      <c r="C4" s="1">
        <v>4</v>
      </c>
      <c r="D4" s="1">
        <v>0</v>
      </c>
      <c r="E4" s="1">
        <v>5</v>
      </c>
      <c r="F4" s="1">
        <v>7</v>
      </c>
      <c r="G4" s="1">
        <v>98</v>
      </c>
      <c r="I4" s="1" t="str" cm="1">
        <f t="array" ref="I4:I30">Modules!A2:A28</f>
        <v>WB3703 Introduction to ROS</v>
      </c>
      <c r="J4" s="1" cm="1">
        <f t="array" ref="J4:J30">Modules!G2:G28</f>
        <v>9.9447513812154692E-2</v>
      </c>
      <c r="K4" s="1" cm="1">
        <f t="array" ref="K4:K30">Modules!I2:I28</f>
        <v>7.7348066298342538E-2</v>
      </c>
    </row>
    <row r="5" spans="2:11" x14ac:dyDescent="0.25">
      <c r="B5" s="1" t="str">
        <v>AE2235-II Signal Analysis and Telecommunication Principles</v>
      </c>
      <c r="C5" s="1">
        <v>4</v>
      </c>
      <c r="D5" s="1">
        <v>0</v>
      </c>
      <c r="E5" s="1">
        <v>3</v>
      </c>
      <c r="F5" s="1">
        <v>7</v>
      </c>
      <c r="G5" s="1">
        <v>58.8</v>
      </c>
      <c r="I5" s="1" t="str">
        <v>WB3702 Design in Robotics</v>
      </c>
      <c r="J5" s="1">
        <v>0.19889502762430938</v>
      </c>
      <c r="K5" s="1">
        <v>0.15469613259668508</v>
      </c>
    </row>
    <row r="6" spans="2:11" x14ac:dyDescent="0.25">
      <c r="B6" s="1" t="str">
        <v>AE1108-II Aerospace Mechanics of Materials</v>
      </c>
      <c r="C6" s="1">
        <v>4</v>
      </c>
      <c r="D6" s="1">
        <v>0</v>
      </c>
      <c r="E6" s="1">
        <v>3</v>
      </c>
      <c r="F6" s="1">
        <v>7</v>
      </c>
      <c r="G6" s="1">
        <v>58.8</v>
      </c>
      <c r="I6" s="1" t="str">
        <v>WB3700 Robotics Minor Project</v>
      </c>
      <c r="J6" s="1">
        <v>0.7458563535911602</v>
      </c>
      <c r="K6" s="1">
        <v>0.58011049723756902</v>
      </c>
    </row>
    <row r="7" spans="2:11" x14ac:dyDescent="0.25">
      <c r="B7" s="1" t="str">
        <v>AE2230-I Flight &amp; Orbital Mechanics</v>
      </c>
      <c r="C7" s="1">
        <v>4</v>
      </c>
      <c r="D7" s="1">
        <v>0</v>
      </c>
      <c r="E7" s="1">
        <v>4</v>
      </c>
      <c r="F7" s="1">
        <v>7</v>
      </c>
      <c r="G7" s="1">
        <v>78.400000000000006</v>
      </c>
      <c r="I7" s="1" t="str">
        <v>WB3168 Robot Mechanics</v>
      </c>
      <c r="J7" s="1">
        <v>4.9723756906077346E-2</v>
      </c>
      <c r="K7" s="1">
        <v>3.8674033149171269E-2</v>
      </c>
    </row>
    <row r="8" spans="2:11" x14ac:dyDescent="0.25">
      <c r="B8" s="1" t="str">
        <v>AE1240-II Waves and Electromagnetism</v>
      </c>
      <c r="C8" s="1">
        <v>4</v>
      </c>
      <c r="D8" s="1">
        <v>0</v>
      </c>
      <c r="E8" s="1">
        <v>3</v>
      </c>
      <c r="F8" s="1">
        <v>7</v>
      </c>
      <c r="G8" s="1">
        <v>58.8</v>
      </c>
      <c r="I8" s="1" t="str">
        <v>TI3115TU Software Engineering Methods</v>
      </c>
      <c r="J8" s="1">
        <v>0.24861878453038674</v>
      </c>
      <c r="K8" s="1">
        <v>0.19337016574585636</v>
      </c>
    </row>
    <row r="9" spans="2:11" x14ac:dyDescent="0.25">
      <c r="B9" s="1" t="str">
        <v>AE2235-I Aerospace Systems and Control Theory</v>
      </c>
      <c r="C9" s="1">
        <v>4</v>
      </c>
      <c r="D9" s="1">
        <v>0</v>
      </c>
      <c r="E9" s="1">
        <v>4</v>
      </c>
      <c r="F9" s="1">
        <v>7</v>
      </c>
      <c r="G9" s="1">
        <v>78.400000000000006</v>
      </c>
      <c r="I9" s="1" t="str">
        <v>ET3033TU Circuit Analysis</v>
      </c>
      <c r="J9" s="1">
        <v>0.14917127071823205</v>
      </c>
      <c r="K9" s="1">
        <v>0.11602209944751381</v>
      </c>
    </row>
    <row r="10" spans="2:11" x14ac:dyDescent="0.25">
      <c r="B10" s="1" t="str">
        <v>AE2220-I Applied Numerical Analysis</v>
      </c>
      <c r="C10" s="1">
        <v>4</v>
      </c>
      <c r="D10" s="1">
        <v>0</v>
      </c>
      <c r="E10" s="1">
        <v>3</v>
      </c>
      <c r="F10" s="1">
        <v>7</v>
      </c>
      <c r="G10" s="1">
        <v>58.8</v>
      </c>
      <c r="I10" s="1" t="str">
        <v>AE3211 Aerospace Systems Engineering, Design and Production</v>
      </c>
      <c r="J10" s="1">
        <v>0.2983425414364641</v>
      </c>
      <c r="K10" s="1">
        <v>0.23204419889502761</v>
      </c>
    </row>
    <row r="11" spans="2:11" x14ac:dyDescent="0.25">
      <c r="B11" s="1" t="str">
        <v>AE2220-II Computational Modeling</v>
      </c>
      <c r="C11" s="1">
        <v>4</v>
      </c>
      <c r="D11" s="1">
        <v>0</v>
      </c>
      <c r="E11" s="1">
        <v>3</v>
      </c>
      <c r="F11" s="1">
        <v>7</v>
      </c>
      <c r="G11" s="1">
        <v>58.8</v>
      </c>
      <c r="I11" s="1" t="str">
        <v>AE3200 Design Synthesis</v>
      </c>
      <c r="J11" s="1">
        <v>0.7458563535911602</v>
      </c>
      <c r="K11" s="1">
        <v>0.58011049723756902</v>
      </c>
    </row>
    <row r="12" spans="2:11" x14ac:dyDescent="0.25">
      <c r="B12" s="1" t="str">
        <v>AE1240-I Thermodynamics</v>
      </c>
      <c r="C12" s="1">
        <v>4</v>
      </c>
      <c r="D12" s="1">
        <v>0</v>
      </c>
      <c r="E12" s="1">
        <v>3</v>
      </c>
      <c r="F12" s="1">
        <v>7</v>
      </c>
      <c r="G12" s="1">
        <v>58.8</v>
      </c>
      <c r="I12" s="1" t="str">
        <v>AE3212 Aerospace Flight Dynamics, SVV including Flight Test</v>
      </c>
      <c r="J12" s="1">
        <v>0.44751381215469616</v>
      </c>
      <c r="K12" s="1">
        <v>0.34806629834254144</v>
      </c>
    </row>
    <row r="13" spans="2:11" x14ac:dyDescent="0.25">
      <c r="B13" s="1" t="str">
        <v>AE1205 Programming and Scientific Computing in Python for AE1</v>
      </c>
      <c r="C13" s="1">
        <v>4</v>
      </c>
      <c r="D13" s="1">
        <v>0</v>
      </c>
      <c r="E13" s="1">
        <v>2</v>
      </c>
      <c r="F13" s="1">
        <v>7</v>
      </c>
      <c r="G13" s="1">
        <v>39.200000000000003</v>
      </c>
      <c r="I13" s="1" t="str">
        <v>WI2180LR Differential Equations, Probability Theory and Statistics</v>
      </c>
      <c r="J13" s="1">
        <v>0.39779005524861877</v>
      </c>
      <c r="K13" s="1">
        <v>0.30939226519337015</v>
      </c>
    </row>
    <row r="14" spans="2:11" x14ac:dyDescent="0.25">
      <c r="B14" s="1" t="str">
        <v>AE3212-I Aerospace Flight Dynamics &amp; Simulation, incl. Flight Test</v>
      </c>
      <c r="C14" s="1">
        <v>3</v>
      </c>
      <c r="D14" s="1">
        <v>0</v>
      </c>
      <c r="E14" s="1">
        <v>5</v>
      </c>
      <c r="F14" s="1">
        <v>7</v>
      </c>
      <c r="G14" s="1">
        <v>98</v>
      </c>
      <c r="I14" s="1" t="str">
        <v>AE2235 Aerospace Signals, Systems and Control</v>
      </c>
      <c r="J14" s="1">
        <v>0.34806629834254144</v>
      </c>
      <c r="K14" s="1">
        <v>0.27071823204419887</v>
      </c>
    </row>
    <row r="15" spans="2:11" x14ac:dyDescent="0.25">
      <c r="B15" s="1" t="str">
        <v>AE3212-II Simulation, Verification &amp; Validation</v>
      </c>
      <c r="C15" s="1">
        <v>3</v>
      </c>
      <c r="D15" s="1">
        <v>0</v>
      </c>
      <c r="E15" s="1">
        <v>4</v>
      </c>
      <c r="F15" s="1">
        <v>7</v>
      </c>
      <c r="G15" s="1">
        <v>78.400000000000006</v>
      </c>
      <c r="I15" s="1" t="str">
        <v>AE2230 Flight and Orbital Mechanics and Propulsion</v>
      </c>
      <c r="J15" s="1">
        <v>0.39779005524861877</v>
      </c>
      <c r="K15" s="1">
        <v>0.30939226519337015</v>
      </c>
    </row>
    <row r="16" spans="2:11" x14ac:dyDescent="0.25">
      <c r="B16" s="1" t="str">
        <v>AE3211-II Production of Aerospace Systems</v>
      </c>
      <c r="C16" s="1">
        <v>3</v>
      </c>
      <c r="D16" s="1">
        <v>0</v>
      </c>
      <c r="E16" s="1">
        <v>3</v>
      </c>
      <c r="F16" s="1">
        <v>7</v>
      </c>
      <c r="G16" s="1">
        <v>58.8</v>
      </c>
      <c r="I16" s="1" t="str">
        <v>AE2223 Test, Analysis and Simulation</v>
      </c>
      <c r="J16" s="1">
        <v>0.39779005524861877</v>
      </c>
      <c r="K16" s="1">
        <v>0.30939226519337015</v>
      </c>
    </row>
    <row r="17" spans="2:11" x14ac:dyDescent="0.25">
      <c r="B17" s="1" t="str">
        <v>AE3211-I Systems Engineering and Aerospace Design</v>
      </c>
      <c r="C17" s="1">
        <v>3</v>
      </c>
      <c r="D17" s="1">
        <v>0</v>
      </c>
      <c r="E17" s="1">
        <v>3</v>
      </c>
      <c r="F17" s="1">
        <v>7</v>
      </c>
      <c r="G17" s="1">
        <v>58.8</v>
      </c>
      <c r="I17" s="1" t="str">
        <v>AE2220 Applied Numerical Analysis</v>
      </c>
      <c r="J17" s="1">
        <v>0.2983425414364641</v>
      </c>
      <c r="K17" s="1">
        <v>0.23204419889502761</v>
      </c>
    </row>
    <row r="18" spans="2:11" x14ac:dyDescent="0.25">
      <c r="B18" s="1" t="str">
        <v>AE2230-II Propulsion &amp; Power</v>
      </c>
      <c r="C18" s="1">
        <v>4</v>
      </c>
      <c r="D18" s="1">
        <v>0</v>
      </c>
      <c r="E18" s="1">
        <v>4</v>
      </c>
      <c r="F18" s="1">
        <v>7</v>
      </c>
      <c r="G18" s="1">
        <v>78.400000000000006</v>
      </c>
      <c r="I18" s="1" t="str">
        <v>AE2135 Structural and Vibrational Analysis and Design</v>
      </c>
      <c r="J18" s="1">
        <v>0.39779005524861877</v>
      </c>
      <c r="K18" s="1">
        <v>0.30939226519337015</v>
      </c>
    </row>
    <row r="19" spans="2:11" x14ac:dyDescent="0.25">
      <c r="B19" s="1" t="str">
        <v>AE2223-II Experimental Research &amp; Data Analysis</v>
      </c>
      <c r="C19" s="1">
        <v>3</v>
      </c>
      <c r="D19" s="1">
        <v>0</v>
      </c>
      <c r="E19" s="1">
        <v>3</v>
      </c>
      <c r="F19" s="1">
        <v>7</v>
      </c>
      <c r="G19" s="1">
        <v>58.8</v>
      </c>
      <c r="I19" s="1" t="str">
        <v>AE2130 Aerodynamics Sub- and Supersonic</v>
      </c>
      <c r="J19" s="1">
        <v>0.34806629834254144</v>
      </c>
      <c r="K19" s="1">
        <v>0.27071823204419887</v>
      </c>
    </row>
    <row r="20" spans="2:11" x14ac:dyDescent="0.25">
      <c r="B20" s="1" t="str">
        <v>AE2223-I Test, Analysis &amp; Simulation</v>
      </c>
      <c r="C20" s="1">
        <v>3</v>
      </c>
      <c r="D20" s="1">
        <v>0</v>
      </c>
      <c r="E20" s="1">
        <v>5</v>
      </c>
      <c r="F20" s="1">
        <v>7</v>
      </c>
      <c r="G20" s="1">
        <v>98</v>
      </c>
      <c r="I20" s="1" t="str">
        <v>AE2111 Aerospace System Design</v>
      </c>
      <c r="J20" s="1">
        <v>0.39779005524861877</v>
      </c>
      <c r="K20" s="1">
        <v>0.30939226519337015</v>
      </c>
    </row>
    <row r="21" spans="2:11" x14ac:dyDescent="0.25">
      <c r="B21" s="1" t="str">
        <v>WI1420LR Calculus II</v>
      </c>
      <c r="C21" s="1">
        <v>3</v>
      </c>
      <c r="D21" s="1">
        <v>0</v>
      </c>
      <c r="E21" s="1">
        <v>5</v>
      </c>
      <c r="F21" s="1">
        <v>7</v>
      </c>
      <c r="G21" s="1">
        <v>98</v>
      </c>
      <c r="I21" s="1" t="str">
        <v>WI1421LR Calculus I</v>
      </c>
      <c r="J21" s="1">
        <v>0.2983425414364641</v>
      </c>
      <c r="K21" s="1">
        <v>0.23204419889502761</v>
      </c>
    </row>
    <row r="22" spans="2:11" x14ac:dyDescent="0.25">
      <c r="B22" s="1" t="str">
        <v>AE1222-II Aerospace Design and Systems Engineering Elements I</v>
      </c>
      <c r="C22" s="1">
        <v>3</v>
      </c>
      <c r="D22" s="1">
        <v>0</v>
      </c>
      <c r="E22" s="1">
        <v>4</v>
      </c>
      <c r="F22" s="1">
        <v>7</v>
      </c>
      <c r="G22" s="1">
        <v>78.400000000000006</v>
      </c>
      <c r="I22" s="1" t="str">
        <v>WI1403LR Linear Algebra</v>
      </c>
      <c r="J22" s="1">
        <v>0.24861878453038674</v>
      </c>
      <c r="K22" s="1">
        <v>0.19337016574585636</v>
      </c>
    </row>
    <row r="23" spans="2:11" x14ac:dyDescent="0.25">
      <c r="B23" s="1" t="str">
        <v>AE1222-I Design &amp; Construction</v>
      </c>
      <c r="C23" s="1">
        <v>3</v>
      </c>
      <c r="D23" s="1">
        <v>0</v>
      </c>
      <c r="E23" s="1">
        <v>5</v>
      </c>
      <c r="F23" s="1">
        <v>7</v>
      </c>
      <c r="G23" s="1">
        <v>98</v>
      </c>
      <c r="I23" s="1" t="str">
        <v>AE1240 Physics</v>
      </c>
      <c r="J23" s="1">
        <v>0.2983425414364641</v>
      </c>
      <c r="K23" s="1">
        <v>0.23204419889502761</v>
      </c>
    </row>
    <row r="24" spans="2:11" x14ac:dyDescent="0.25">
      <c r="B24" s="1" t="str">
        <v>AE3200 Design Synthesis</v>
      </c>
      <c r="C24" s="1">
        <v>4</v>
      </c>
      <c r="D24" s="1">
        <v>0</v>
      </c>
      <c r="E24" s="1">
        <v>15</v>
      </c>
      <c r="F24" s="1">
        <v>7</v>
      </c>
      <c r="G24" s="1">
        <v>294</v>
      </c>
      <c r="I24" s="1" t="str">
        <v>AE1240 Calculus II</v>
      </c>
      <c r="J24" s="1">
        <v>0.2983425414364641</v>
      </c>
      <c r="K24" s="1">
        <v>0.23204419889502761</v>
      </c>
    </row>
    <row r="25" spans="2:11" x14ac:dyDescent="0.25">
      <c r="B25" s="1" t="str">
        <v>AE2130-III Aerodynamics II</v>
      </c>
      <c r="C25" s="1">
        <v>2</v>
      </c>
      <c r="D25" s="1">
        <v>0</v>
      </c>
      <c r="E25" s="1">
        <v>3</v>
      </c>
      <c r="F25" s="1">
        <v>7</v>
      </c>
      <c r="G25" s="1">
        <v>58.8</v>
      </c>
      <c r="I25" s="1" t="str">
        <v>AE1222 Aerospace Design and Construction</v>
      </c>
      <c r="J25" s="1">
        <v>0.44751381215469616</v>
      </c>
      <c r="K25" s="1">
        <v>0.34806629834254144</v>
      </c>
    </row>
    <row r="26" spans="2:11" x14ac:dyDescent="0.25">
      <c r="B26" s="1" t="str">
        <v>AE1110-II Introduction to Aerospace Engineering II</v>
      </c>
      <c r="C26" s="1">
        <v>2</v>
      </c>
      <c r="D26" s="1">
        <v>0</v>
      </c>
      <c r="E26" s="1">
        <v>4</v>
      </c>
      <c r="F26" s="1">
        <v>7</v>
      </c>
      <c r="G26" s="1">
        <v>78.400000000000006</v>
      </c>
      <c r="I26" s="1" t="str">
        <v>AE1205 Programming and Scientific Computing in Python for AE1</v>
      </c>
      <c r="J26" s="1">
        <v>9.9447513812154692E-2</v>
      </c>
      <c r="K26" s="1">
        <v>7.7348066298342538E-2</v>
      </c>
    </row>
    <row r="27" spans="2:11" x14ac:dyDescent="0.25">
      <c r="B27" s="1" t="str">
        <v>WI1421LR Calculus I-B</v>
      </c>
      <c r="C27" s="1">
        <v>2</v>
      </c>
      <c r="D27" s="1">
        <v>0</v>
      </c>
      <c r="E27" s="1">
        <v>3</v>
      </c>
      <c r="F27" s="1">
        <v>7</v>
      </c>
      <c r="G27" s="1">
        <v>58.8</v>
      </c>
      <c r="I27" s="1" t="str">
        <v>AE1130 Engineering Mechanics</v>
      </c>
      <c r="J27" s="1">
        <v>0.34806629834254144</v>
      </c>
      <c r="K27" s="1">
        <v>0.27071823204419887</v>
      </c>
    </row>
    <row r="28" spans="2:11" x14ac:dyDescent="0.25">
      <c r="B28" s="1" t="str">
        <v>AE1130-II Dynamics</v>
      </c>
      <c r="C28" s="1">
        <v>2</v>
      </c>
      <c r="D28" s="1">
        <v>0</v>
      </c>
      <c r="E28" s="1">
        <v>3</v>
      </c>
      <c r="F28" s="1">
        <v>7</v>
      </c>
      <c r="G28" s="1">
        <v>58.8</v>
      </c>
      <c r="I28" s="1" t="str">
        <v>AE1111 Exploring Aerospace Engineering and Design</v>
      </c>
      <c r="J28" s="1">
        <v>0.24861878453038674</v>
      </c>
      <c r="K28" s="1">
        <v>0.19337016574585636</v>
      </c>
    </row>
    <row r="29" spans="2:11" x14ac:dyDescent="0.25">
      <c r="B29" s="1" t="str">
        <v>AE2135-I Structural Analysis &amp; Design</v>
      </c>
      <c r="C29" s="1">
        <v>2</v>
      </c>
      <c r="D29" s="1">
        <v>0</v>
      </c>
      <c r="E29" s="1">
        <v>5</v>
      </c>
      <c r="F29" s="1">
        <v>7</v>
      </c>
      <c r="G29" s="1">
        <v>98</v>
      </c>
      <c r="I29" s="1" t="str">
        <v>AE1110 Introduction to Aerospace Engineering</v>
      </c>
      <c r="J29" s="1">
        <v>0.44751381215469616</v>
      </c>
      <c r="K29" s="1">
        <v>0.34806629834254144</v>
      </c>
    </row>
    <row r="30" spans="2:11" x14ac:dyDescent="0.25">
      <c r="B30" s="1" t="str">
        <v>AE1108-I Aerospace Materials</v>
      </c>
      <c r="C30" s="1">
        <v>2</v>
      </c>
      <c r="D30" s="1">
        <v>0</v>
      </c>
      <c r="E30" s="1">
        <v>3</v>
      </c>
      <c r="F30" s="1">
        <v>7</v>
      </c>
      <c r="G30" s="1">
        <v>58.8</v>
      </c>
      <c r="I30" s="1" t="str">
        <v>AE1108 Aerospace Materials and Structures</v>
      </c>
      <c r="J30" s="1">
        <v>0.2983425414364641</v>
      </c>
      <c r="K30" s="1">
        <v>0.23204419889502761</v>
      </c>
    </row>
    <row r="31" spans="2:11" x14ac:dyDescent="0.25">
      <c r="B31" s="1" t="str">
        <v>WB3700 Robotics Minor Project</v>
      </c>
      <c r="C31" s="1">
        <v>2</v>
      </c>
      <c r="D31" s="1">
        <v>0</v>
      </c>
      <c r="E31" s="1">
        <v>15</v>
      </c>
      <c r="F31" s="1">
        <v>7</v>
      </c>
      <c r="G31" s="1">
        <v>294</v>
      </c>
    </row>
    <row r="32" spans="2:11" x14ac:dyDescent="0.25">
      <c r="B32" s="1" t="str">
        <v>AE2135-II Vibrations</v>
      </c>
      <c r="C32" s="1">
        <v>2</v>
      </c>
      <c r="D32" s="1">
        <v>0</v>
      </c>
      <c r="E32" s="1">
        <v>3</v>
      </c>
      <c r="F32" s="1">
        <v>7</v>
      </c>
      <c r="G32" s="1">
        <v>58.8</v>
      </c>
    </row>
    <row r="33" spans="2:7" x14ac:dyDescent="0.25">
      <c r="B33" s="1" t="str">
        <v>AE2130-II Low-speed Wind Tunnel Test</v>
      </c>
      <c r="C33" s="1">
        <v>2</v>
      </c>
      <c r="D33" s="1">
        <v>0</v>
      </c>
      <c r="E33" s="1">
        <v>1</v>
      </c>
      <c r="F33" s="1">
        <v>7</v>
      </c>
      <c r="G33" s="1">
        <v>19.600000000000001</v>
      </c>
    </row>
    <row r="34" spans="2:7" x14ac:dyDescent="0.25">
      <c r="B34" s="1" t="str">
        <v>WB3702 Design in Robotics</v>
      </c>
      <c r="C34" s="1">
        <v>1</v>
      </c>
      <c r="D34" s="1">
        <v>0</v>
      </c>
      <c r="E34" s="1">
        <v>4</v>
      </c>
      <c r="F34" s="1">
        <v>7</v>
      </c>
      <c r="G34" s="1">
        <v>78.400000000000006</v>
      </c>
    </row>
    <row r="35" spans="2:7" x14ac:dyDescent="0.25">
      <c r="B35" s="1" t="str">
        <v>WB3168 Robot Mechanics</v>
      </c>
      <c r="C35" s="1">
        <v>1</v>
      </c>
      <c r="D35" s="1">
        <v>0</v>
      </c>
      <c r="E35" s="1">
        <v>1</v>
      </c>
      <c r="F35" s="1">
        <v>7</v>
      </c>
      <c r="G35" s="1">
        <v>19.600000000000001</v>
      </c>
    </row>
    <row r="36" spans="2:7" x14ac:dyDescent="0.25">
      <c r="B36" s="1" t="str">
        <v>WI2180LR-II Probability and Statistics</v>
      </c>
      <c r="C36" s="1">
        <v>1</v>
      </c>
      <c r="D36" s="1">
        <v>0</v>
      </c>
      <c r="E36" s="1">
        <v>4</v>
      </c>
      <c r="F36" s="1">
        <v>7</v>
      </c>
      <c r="G36" s="1">
        <v>78.400000000000006</v>
      </c>
    </row>
    <row r="37" spans="2:7" x14ac:dyDescent="0.25">
      <c r="B37" s="1" t="str">
        <v>AE2130-I Aerodynamics I</v>
      </c>
      <c r="C37" s="1">
        <v>1</v>
      </c>
      <c r="D37" s="1">
        <v>0</v>
      </c>
      <c r="E37" s="1">
        <v>3</v>
      </c>
      <c r="F37" s="1">
        <v>7</v>
      </c>
      <c r="G37" s="1">
        <v>58.8</v>
      </c>
    </row>
    <row r="38" spans="2:7" x14ac:dyDescent="0.25">
      <c r="B38" s="1" t="str">
        <v>AE1110-I Introduction to Aerospace Engineering I</v>
      </c>
      <c r="C38" s="1">
        <v>1</v>
      </c>
      <c r="D38" s="1">
        <v>0</v>
      </c>
      <c r="E38" s="1">
        <v>5</v>
      </c>
      <c r="F38" s="1">
        <v>7</v>
      </c>
      <c r="G38" s="1">
        <v>98</v>
      </c>
    </row>
    <row r="39" spans="2:7" x14ac:dyDescent="0.25">
      <c r="B39" s="1" t="str">
        <v>AE1130-I Statics</v>
      </c>
      <c r="C39" s="1">
        <v>1</v>
      </c>
      <c r="D39" s="1">
        <v>0</v>
      </c>
      <c r="E39" s="1">
        <v>4</v>
      </c>
      <c r="F39" s="1">
        <v>7</v>
      </c>
      <c r="G39" s="1">
        <v>78.400000000000006</v>
      </c>
    </row>
    <row r="40" spans="2:7" x14ac:dyDescent="0.25">
      <c r="B40" s="1" t="str">
        <v>AE2111-II Aerospace Design &amp; Systems Engineering Elements II</v>
      </c>
      <c r="C40" s="1">
        <v>1</v>
      </c>
      <c r="D40" s="1">
        <v>0</v>
      </c>
      <c r="E40" s="1">
        <v>3</v>
      </c>
      <c r="F40" s="1">
        <v>7</v>
      </c>
      <c r="G40" s="1">
        <v>58.8</v>
      </c>
    </row>
    <row r="41" spans="2:7" x14ac:dyDescent="0.25">
      <c r="B41" s="1" t="str">
        <v>WI2180LR-I Differential Equations</v>
      </c>
      <c r="C41" s="1">
        <v>1</v>
      </c>
      <c r="D41" s="1">
        <v>0</v>
      </c>
      <c r="E41" s="1">
        <v>4</v>
      </c>
      <c r="F41" s="1">
        <v>7</v>
      </c>
      <c r="G41" s="1">
        <v>78.400000000000006</v>
      </c>
    </row>
    <row r="42" spans="2:7" x14ac:dyDescent="0.25">
      <c r="B42" s="1" t="str">
        <v>WB3703 Introduction to ROS</v>
      </c>
      <c r="C42" s="1">
        <v>1</v>
      </c>
      <c r="D42" s="1">
        <v>0</v>
      </c>
      <c r="E42" s="1">
        <v>2</v>
      </c>
      <c r="F42" s="1">
        <v>7</v>
      </c>
      <c r="G42" s="1">
        <v>39.200000000000003</v>
      </c>
    </row>
    <row r="43" spans="2:7" x14ac:dyDescent="0.25">
      <c r="B43" s="1" t="str">
        <v>TI3115TU Software Engineering Methods</v>
      </c>
      <c r="C43" s="1">
        <v>1</v>
      </c>
      <c r="D43" s="1">
        <v>0</v>
      </c>
      <c r="E43" s="1">
        <v>5</v>
      </c>
      <c r="F43" s="1">
        <v>7</v>
      </c>
      <c r="G43" s="1">
        <v>98</v>
      </c>
    </row>
    <row r="44" spans="2:7" x14ac:dyDescent="0.25">
      <c r="B44" s="1" t="str">
        <v>ET3033TU Circuit Analysis</v>
      </c>
      <c r="C44" s="1">
        <v>1</v>
      </c>
      <c r="D44" s="1">
        <v>0</v>
      </c>
      <c r="E44" s="1">
        <v>3</v>
      </c>
      <c r="F44" s="1">
        <v>7</v>
      </c>
      <c r="G44" s="1">
        <v>58.8</v>
      </c>
    </row>
    <row r="45" spans="2:7" x14ac:dyDescent="0.25">
      <c r="B45" s="1" t="str">
        <v>AE2111-I Systems Design</v>
      </c>
      <c r="C45" s="1">
        <v>1</v>
      </c>
      <c r="D45" s="1">
        <v>0</v>
      </c>
      <c r="E45" s="1">
        <v>5</v>
      </c>
      <c r="F45" s="1">
        <v>7</v>
      </c>
      <c r="G45" s="1">
        <v>98</v>
      </c>
    </row>
    <row r="46" spans="2:7" x14ac:dyDescent="0.25">
      <c r="B46" s="1" t="str">
        <v>WI1421LR Calculus I-A</v>
      </c>
      <c r="C46" s="1">
        <v>1</v>
      </c>
      <c r="D46" s="1">
        <v>0</v>
      </c>
      <c r="E46" s="1">
        <v>3</v>
      </c>
      <c r="F46" s="1">
        <v>7</v>
      </c>
      <c r="G46" s="1">
        <v>58.8</v>
      </c>
    </row>
    <row r="47" spans="2:7" x14ac:dyDescent="0.25">
      <c r="B47" s="1" t="str">
        <v>AE1111-I Exploring Aerospace Engineering</v>
      </c>
      <c r="C47" s="1">
        <v>1</v>
      </c>
      <c r="D47" s="1">
        <v>0</v>
      </c>
      <c r="E47" s="1">
        <v>3</v>
      </c>
      <c r="F47" s="1">
        <v>7</v>
      </c>
      <c r="G47" s="1">
        <v>58.8</v>
      </c>
    </row>
    <row r="48" spans="2:7" x14ac:dyDescent="0.25">
      <c r="B48" s="1" t="str">
        <v>AE1111-II Engineering Drawing</v>
      </c>
      <c r="C48" s="1">
        <v>1</v>
      </c>
      <c r="D48" s="1">
        <v>0</v>
      </c>
      <c r="E48" s="1">
        <v>2</v>
      </c>
      <c r="F48" s="1">
        <v>7</v>
      </c>
      <c r="G48" s="1">
        <v>39.200000000000003</v>
      </c>
    </row>
  </sheetData>
  <mergeCells count="2">
    <mergeCell ref="I2:K2"/>
    <mergeCell ref="B2:G2"/>
  </mergeCells>
  <conditionalFormatting sqref="F4:F4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:G4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30">
    <cfRule type="expression" dxfId="15" priority="54">
      <formula>AND(J4&gt;0, K4&gt;0)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tabSelected="1" zoomScale="65" zoomScaleNormal="85" workbookViewId="0">
      <selection activeCell="L10" sqref="L10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5" t="s">
        <v>74</v>
      </c>
      <c r="C1" s="5" t="s">
        <v>60</v>
      </c>
      <c r="D1" s="5" t="s">
        <v>61</v>
      </c>
      <c r="E1" s="5" t="s">
        <v>26</v>
      </c>
      <c r="F1" s="5" t="s">
        <v>27</v>
      </c>
      <c r="G1" s="5" t="s">
        <v>75</v>
      </c>
      <c r="H1" s="5" t="s">
        <v>84</v>
      </c>
      <c r="I1" s="5" t="s">
        <v>117</v>
      </c>
      <c r="J1" s="5" t="s">
        <v>81</v>
      </c>
      <c r="K1" s="5" t="s">
        <v>83</v>
      </c>
      <c r="L1" s="5" t="s">
        <v>85</v>
      </c>
      <c r="M1" s="5" t="s">
        <v>82</v>
      </c>
      <c r="N1" s="5" t="s">
        <v>97</v>
      </c>
      <c r="O1" s="5" t="s">
        <v>62</v>
      </c>
      <c r="P1" s="5" t="s">
        <v>96</v>
      </c>
    </row>
    <row r="2" spans="1:16" x14ac:dyDescent="0.25">
      <c r="A2" s="60"/>
      <c r="B2" s="37" t="s">
        <v>19</v>
      </c>
      <c r="C2" s="37">
        <v>4</v>
      </c>
      <c r="D2" s="60"/>
      <c r="E2" s="37">
        <v>5</v>
      </c>
      <c r="F2" s="37" t="str">
        <f>IF(OR(D2&lt;5,ISBLANK(D2)),"Pending","Definitive")</f>
        <v>Pending</v>
      </c>
      <c r="G2" s="60"/>
      <c r="H2">
        <v>9</v>
      </c>
      <c r="I2" s="37">
        <f t="shared" ref="I2:I3" si="0">IF(NOT(ISBLANK(D2)), IF(G2=1, H2, D2), H2)</f>
        <v>9</v>
      </c>
      <c r="J2" s="37">
        <f t="shared" ref="J2:J46" si="1">(H2-D2)*E2/SUM(E$2:E$46)</f>
        <v>0.25</v>
      </c>
      <c r="K2">
        <v>7</v>
      </c>
      <c r="L2" s="37">
        <f t="shared" ref="L2:L46" si="2">IF(NOT(ISBLANK(D2)), IF(G2=1, K2, D2), K2)</f>
        <v>7</v>
      </c>
      <c r="M2" s="37">
        <f t="shared" ref="M2:M46" si="3">(L2-D2)*E2/SUM(E$2:E$46)</f>
        <v>0.19444444444444445</v>
      </c>
      <c r="N2" s="37">
        <f t="shared" ref="N2:N46" si="4">IF(OR(G2&gt;0, ISBLANK(D2)), E2*28*L2/10, 0)</f>
        <v>98</v>
      </c>
      <c r="O2" s="61">
        <v>1</v>
      </c>
      <c r="P2" s="37" t="b">
        <f t="shared" ref="P2:P46" si="5">IF(D2&gt;4.99, TRUE, FALSE)</f>
        <v>0</v>
      </c>
    </row>
    <row r="3" spans="1:16" x14ac:dyDescent="0.25">
      <c r="A3" s="60"/>
      <c r="B3" s="37" t="s">
        <v>47</v>
      </c>
      <c r="C3" s="37">
        <v>4</v>
      </c>
      <c r="D3" s="60"/>
      <c r="E3" s="37">
        <v>3</v>
      </c>
      <c r="F3" s="37" t="str">
        <f t="shared" ref="F3:F46" si="6">IF(OR(D3&lt;5,ISBLANK(D3)),"Pending","Definitive")</f>
        <v>Pending</v>
      </c>
      <c r="G3" s="60"/>
      <c r="H3">
        <v>9</v>
      </c>
      <c r="I3" s="37">
        <f t="shared" si="0"/>
        <v>9</v>
      </c>
      <c r="J3" s="37">
        <f t="shared" si="1"/>
        <v>0.15</v>
      </c>
      <c r="K3">
        <v>7</v>
      </c>
      <c r="L3" s="37">
        <f t="shared" si="2"/>
        <v>7</v>
      </c>
      <c r="M3" s="37">
        <f t="shared" si="3"/>
        <v>0.11666666666666667</v>
      </c>
      <c r="N3" s="37">
        <f t="shared" si="4"/>
        <v>58.8</v>
      </c>
      <c r="O3" s="61">
        <v>2</v>
      </c>
      <c r="P3" s="37" t="b">
        <f t="shared" si="5"/>
        <v>0</v>
      </c>
    </row>
    <row r="4" spans="1:16" x14ac:dyDescent="0.25">
      <c r="A4" s="60"/>
      <c r="B4" s="37" t="s">
        <v>54</v>
      </c>
      <c r="C4" s="37">
        <v>4</v>
      </c>
      <c r="D4" s="60"/>
      <c r="E4" s="37">
        <v>3</v>
      </c>
      <c r="F4" s="37" t="str">
        <f t="shared" si="6"/>
        <v>Pending</v>
      </c>
      <c r="G4" s="60"/>
      <c r="H4">
        <v>9</v>
      </c>
      <c r="I4" s="37">
        <f>IF(NOT(ISBLANK(D4)), IF(G4=1, H4, D4), H4)</f>
        <v>9</v>
      </c>
      <c r="J4" s="37">
        <f t="shared" si="1"/>
        <v>0.15</v>
      </c>
      <c r="K4">
        <v>7</v>
      </c>
      <c r="L4" s="37">
        <f t="shared" si="2"/>
        <v>7</v>
      </c>
      <c r="M4" s="37">
        <f t="shared" si="3"/>
        <v>0.11666666666666667</v>
      </c>
      <c r="N4" s="37">
        <f t="shared" si="4"/>
        <v>58.8</v>
      </c>
      <c r="O4" s="61">
        <v>1</v>
      </c>
      <c r="P4" s="37" t="b">
        <f t="shared" si="5"/>
        <v>0</v>
      </c>
    </row>
    <row r="5" spans="1:16" x14ac:dyDescent="0.25">
      <c r="A5" s="60"/>
      <c r="B5" s="46" t="s">
        <v>42</v>
      </c>
      <c r="C5" s="46">
        <v>4</v>
      </c>
      <c r="D5" s="60"/>
      <c r="E5" s="37">
        <v>4</v>
      </c>
      <c r="F5" s="37" t="str">
        <f t="shared" si="6"/>
        <v>Pending</v>
      </c>
      <c r="G5" s="60"/>
      <c r="H5">
        <v>9</v>
      </c>
      <c r="I5" s="37">
        <f t="shared" ref="I5:I46" si="7">IF(NOT(ISBLANK(D5)), IF(G5=1, H5, D5), H5)</f>
        <v>9</v>
      </c>
      <c r="J5" s="37">
        <f t="shared" si="1"/>
        <v>0.2</v>
      </c>
      <c r="K5">
        <v>7</v>
      </c>
      <c r="L5" s="37">
        <f t="shared" si="2"/>
        <v>7</v>
      </c>
      <c r="M5" s="37">
        <f t="shared" si="3"/>
        <v>0.15555555555555556</v>
      </c>
      <c r="N5" s="37">
        <f t="shared" si="4"/>
        <v>78.400000000000006</v>
      </c>
      <c r="O5" s="61">
        <v>2</v>
      </c>
      <c r="P5" s="37" t="b">
        <f t="shared" si="5"/>
        <v>0</v>
      </c>
    </row>
    <row r="6" spans="1:16" x14ac:dyDescent="0.25">
      <c r="A6" s="60"/>
      <c r="B6" s="37" t="s">
        <v>58</v>
      </c>
      <c r="C6" s="37">
        <v>4</v>
      </c>
      <c r="D6" s="60"/>
      <c r="E6" s="37">
        <v>3</v>
      </c>
      <c r="F6" s="37" t="str">
        <f t="shared" si="6"/>
        <v>Pending</v>
      </c>
      <c r="G6" s="60"/>
      <c r="H6">
        <v>9</v>
      </c>
      <c r="I6" s="37">
        <f t="shared" si="7"/>
        <v>9</v>
      </c>
      <c r="J6" s="37">
        <f t="shared" si="1"/>
        <v>0.15</v>
      </c>
      <c r="K6">
        <v>7</v>
      </c>
      <c r="L6" s="37">
        <f t="shared" si="2"/>
        <v>7</v>
      </c>
      <c r="M6" s="37">
        <f t="shared" si="3"/>
        <v>0.11666666666666667</v>
      </c>
      <c r="N6" s="37">
        <f t="shared" si="4"/>
        <v>58.8</v>
      </c>
      <c r="O6" s="61">
        <v>1</v>
      </c>
      <c r="P6" s="37" t="b">
        <f t="shared" si="5"/>
        <v>0</v>
      </c>
    </row>
    <row r="7" spans="1:16" x14ac:dyDescent="0.25">
      <c r="A7" s="60"/>
      <c r="B7" s="37" t="s">
        <v>46</v>
      </c>
      <c r="C7" s="37">
        <v>4</v>
      </c>
      <c r="D7" s="60"/>
      <c r="E7" s="37">
        <v>4</v>
      </c>
      <c r="F7" s="37" t="str">
        <f t="shared" si="6"/>
        <v>Pending</v>
      </c>
      <c r="G7" s="60"/>
      <c r="H7">
        <v>9</v>
      </c>
      <c r="I7" s="37">
        <f t="shared" si="7"/>
        <v>9</v>
      </c>
      <c r="J7" s="37">
        <f t="shared" si="1"/>
        <v>0.2</v>
      </c>
      <c r="K7">
        <v>7</v>
      </c>
      <c r="L7" s="37">
        <f t="shared" si="2"/>
        <v>7</v>
      </c>
      <c r="M7" s="37">
        <f t="shared" si="3"/>
        <v>0.15555555555555556</v>
      </c>
      <c r="N7" s="37">
        <f t="shared" si="4"/>
        <v>78.400000000000006</v>
      </c>
      <c r="O7" s="61">
        <v>2</v>
      </c>
      <c r="P7" s="37" t="b">
        <f t="shared" si="5"/>
        <v>0</v>
      </c>
    </row>
    <row r="8" spans="1:16" x14ac:dyDescent="0.25">
      <c r="A8" s="60"/>
      <c r="B8" s="37" t="s">
        <v>40</v>
      </c>
      <c r="C8" s="37">
        <v>4</v>
      </c>
      <c r="D8" s="60"/>
      <c r="E8" s="37">
        <v>3</v>
      </c>
      <c r="F8" s="37" t="str">
        <f t="shared" si="6"/>
        <v>Pending</v>
      </c>
      <c r="G8" s="60"/>
      <c r="H8">
        <v>9</v>
      </c>
      <c r="I8" s="37">
        <f t="shared" si="7"/>
        <v>9</v>
      </c>
      <c r="J8" s="37">
        <f t="shared" si="1"/>
        <v>0.15</v>
      </c>
      <c r="K8">
        <v>7</v>
      </c>
      <c r="L8" s="37">
        <f t="shared" si="2"/>
        <v>7</v>
      </c>
      <c r="M8" s="37">
        <f t="shared" si="3"/>
        <v>0.11666666666666667</v>
      </c>
      <c r="N8" s="37">
        <f t="shared" si="4"/>
        <v>58.8</v>
      </c>
      <c r="O8" s="61">
        <v>2</v>
      </c>
      <c r="P8" s="37" t="b">
        <f t="shared" si="5"/>
        <v>0</v>
      </c>
    </row>
    <row r="9" spans="1:16" x14ac:dyDescent="0.25">
      <c r="A9" s="60"/>
      <c r="B9" s="37" t="s">
        <v>45</v>
      </c>
      <c r="C9" s="37">
        <v>4</v>
      </c>
      <c r="D9" s="60"/>
      <c r="E9" s="37">
        <v>3</v>
      </c>
      <c r="F9" s="37" t="str">
        <f t="shared" si="6"/>
        <v>Pending</v>
      </c>
      <c r="G9" s="60"/>
      <c r="H9">
        <v>9</v>
      </c>
      <c r="I9" s="37">
        <f t="shared" si="7"/>
        <v>9</v>
      </c>
      <c r="J9" s="37">
        <f t="shared" si="1"/>
        <v>0.15</v>
      </c>
      <c r="K9">
        <v>7</v>
      </c>
      <c r="L9" s="37">
        <f t="shared" si="2"/>
        <v>7</v>
      </c>
      <c r="M9" s="37">
        <f t="shared" si="3"/>
        <v>0.11666666666666667</v>
      </c>
      <c r="N9" s="37">
        <f t="shared" si="4"/>
        <v>58.8</v>
      </c>
      <c r="O9" s="61">
        <v>2</v>
      </c>
      <c r="P9" s="37" t="b">
        <f t="shared" si="5"/>
        <v>0</v>
      </c>
    </row>
    <row r="10" spans="1:16" x14ac:dyDescent="0.25">
      <c r="A10" s="60"/>
      <c r="B10" s="37" t="s">
        <v>57</v>
      </c>
      <c r="C10" s="37">
        <v>4</v>
      </c>
      <c r="D10" s="60"/>
      <c r="E10" s="37">
        <v>3</v>
      </c>
      <c r="F10" s="37" t="str">
        <f t="shared" si="6"/>
        <v>Pending</v>
      </c>
      <c r="G10" s="60"/>
      <c r="H10">
        <v>9</v>
      </c>
      <c r="I10" s="37">
        <f t="shared" si="7"/>
        <v>9</v>
      </c>
      <c r="J10" s="37">
        <f t="shared" si="1"/>
        <v>0.15</v>
      </c>
      <c r="K10">
        <v>7</v>
      </c>
      <c r="L10" s="37">
        <f t="shared" si="2"/>
        <v>7</v>
      </c>
      <c r="M10" s="37">
        <f t="shared" si="3"/>
        <v>0.11666666666666667</v>
      </c>
      <c r="N10" s="37">
        <f t="shared" si="4"/>
        <v>58.8</v>
      </c>
      <c r="O10" s="61">
        <v>1</v>
      </c>
      <c r="P10" s="37" t="b">
        <f t="shared" si="5"/>
        <v>0</v>
      </c>
    </row>
    <row r="11" spans="1:16" x14ac:dyDescent="0.25">
      <c r="A11" s="60"/>
      <c r="B11" s="37" t="s">
        <v>23</v>
      </c>
      <c r="C11" s="37">
        <v>4</v>
      </c>
      <c r="D11" s="60"/>
      <c r="E11" s="37">
        <v>2</v>
      </c>
      <c r="F11" s="37" t="str">
        <f t="shared" si="6"/>
        <v>Pending</v>
      </c>
      <c r="G11" s="60"/>
      <c r="H11">
        <v>9</v>
      </c>
      <c r="I11" s="37">
        <f t="shared" si="7"/>
        <v>9</v>
      </c>
      <c r="J11" s="37">
        <f t="shared" si="1"/>
        <v>0.1</v>
      </c>
      <c r="K11">
        <v>7</v>
      </c>
      <c r="L11" s="37">
        <f t="shared" si="2"/>
        <v>7</v>
      </c>
      <c r="M11" s="37">
        <f t="shared" si="3"/>
        <v>7.7777777777777779E-2</v>
      </c>
      <c r="N11" s="37">
        <f t="shared" si="4"/>
        <v>39.200000000000003</v>
      </c>
      <c r="O11" s="61">
        <v>1</v>
      </c>
      <c r="P11" s="37" t="b">
        <f t="shared" si="5"/>
        <v>0</v>
      </c>
    </row>
    <row r="12" spans="1:16" x14ac:dyDescent="0.25">
      <c r="A12" s="60"/>
      <c r="B12" s="37" t="s">
        <v>28</v>
      </c>
      <c r="C12" s="37">
        <v>3</v>
      </c>
      <c r="D12" s="60"/>
      <c r="E12" s="37">
        <v>5</v>
      </c>
      <c r="F12" s="37" t="str">
        <f t="shared" si="6"/>
        <v>Pending</v>
      </c>
      <c r="G12" s="60"/>
      <c r="H12">
        <v>9</v>
      </c>
      <c r="I12" s="37">
        <f t="shared" si="7"/>
        <v>9</v>
      </c>
      <c r="J12" s="37">
        <f t="shared" si="1"/>
        <v>0.25</v>
      </c>
      <c r="K12">
        <v>7</v>
      </c>
      <c r="L12" s="37">
        <f t="shared" si="2"/>
        <v>7</v>
      </c>
      <c r="M12" s="37">
        <f t="shared" si="3"/>
        <v>0.19444444444444445</v>
      </c>
      <c r="N12" s="37">
        <f t="shared" si="4"/>
        <v>98</v>
      </c>
      <c r="O12" s="61">
        <v>3</v>
      </c>
      <c r="P12" s="37" t="b">
        <f t="shared" si="5"/>
        <v>0</v>
      </c>
    </row>
    <row r="13" spans="1:16" x14ac:dyDescent="0.25">
      <c r="A13" s="60"/>
      <c r="B13" s="37" t="s">
        <v>29</v>
      </c>
      <c r="C13" s="37">
        <v>3</v>
      </c>
      <c r="D13" s="60"/>
      <c r="E13" s="37">
        <v>4</v>
      </c>
      <c r="F13" s="37" t="str">
        <f t="shared" si="6"/>
        <v>Pending</v>
      </c>
      <c r="G13" s="60"/>
      <c r="H13">
        <v>9</v>
      </c>
      <c r="I13" s="37">
        <f t="shared" si="7"/>
        <v>9</v>
      </c>
      <c r="J13" s="37">
        <f t="shared" si="1"/>
        <v>0.2</v>
      </c>
      <c r="K13">
        <v>7</v>
      </c>
      <c r="L13" s="37">
        <f t="shared" si="2"/>
        <v>7</v>
      </c>
      <c r="M13" s="37">
        <f t="shared" si="3"/>
        <v>0.15555555555555556</v>
      </c>
      <c r="N13" s="37">
        <f t="shared" si="4"/>
        <v>78.400000000000006</v>
      </c>
      <c r="O13" s="61">
        <v>3</v>
      </c>
      <c r="P13" s="37" t="b">
        <f t="shared" si="5"/>
        <v>0</v>
      </c>
    </row>
    <row r="14" spans="1:16" x14ac:dyDescent="0.25">
      <c r="A14" s="60"/>
      <c r="B14" s="37" t="s">
        <v>31</v>
      </c>
      <c r="C14" s="37">
        <v>3</v>
      </c>
      <c r="D14" s="60"/>
      <c r="E14" s="37">
        <v>3</v>
      </c>
      <c r="F14" s="37" t="str">
        <f t="shared" si="6"/>
        <v>Pending</v>
      </c>
      <c r="G14" s="60"/>
      <c r="H14">
        <v>9</v>
      </c>
      <c r="I14" s="37">
        <f t="shared" si="7"/>
        <v>9</v>
      </c>
      <c r="J14" s="37">
        <f t="shared" si="1"/>
        <v>0.15</v>
      </c>
      <c r="K14">
        <v>7</v>
      </c>
      <c r="L14" s="37">
        <f t="shared" si="2"/>
        <v>7</v>
      </c>
      <c r="M14" s="37">
        <f t="shared" si="3"/>
        <v>0.11666666666666667</v>
      </c>
      <c r="N14" s="37">
        <f t="shared" si="4"/>
        <v>58.8</v>
      </c>
      <c r="O14" s="61">
        <v>3</v>
      </c>
      <c r="P14" s="37" t="b">
        <f t="shared" si="5"/>
        <v>0</v>
      </c>
    </row>
    <row r="15" spans="1:16" x14ac:dyDescent="0.25">
      <c r="A15" s="60"/>
      <c r="B15" s="37" t="s">
        <v>30</v>
      </c>
      <c r="C15" s="37">
        <v>3</v>
      </c>
      <c r="D15" s="60"/>
      <c r="E15" s="37">
        <v>3</v>
      </c>
      <c r="F15" s="37" t="str">
        <f t="shared" si="6"/>
        <v>Pending</v>
      </c>
      <c r="G15" s="60"/>
      <c r="H15">
        <v>9</v>
      </c>
      <c r="I15" s="37">
        <f t="shared" si="7"/>
        <v>9</v>
      </c>
      <c r="J15" s="37">
        <f t="shared" si="1"/>
        <v>0.15</v>
      </c>
      <c r="K15">
        <v>7</v>
      </c>
      <c r="L15" s="37">
        <f t="shared" si="2"/>
        <v>7</v>
      </c>
      <c r="M15" s="37">
        <f t="shared" si="3"/>
        <v>0.11666666666666667</v>
      </c>
      <c r="N15" s="37">
        <f t="shared" si="4"/>
        <v>58.8</v>
      </c>
      <c r="O15" s="61">
        <v>3</v>
      </c>
      <c r="P15" s="37" t="b">
        <f t="shared" si="5"/>
        <v>0</v>
      </c>
    </row>
    <row r="16" spans="1:16" x14ac:dyDescent="0.25">
      <c r="A16" s="60"/>
      <c r="B16" s="37" t="s">
        <v>43</v>
      </c>
      <c r="C16" s="46">
        <v>4</v>
      </c>
      <c r="D16" s="60"/>
      <c r="E16" s="37">
        <v>4</v>
      </c>
      <c r="F16" s="37" t="str">
        <f t="shared" si="6"/>
        <v>Pending</v>
      </c>
      <c r="G16" s="60"/>
      <c r="H16">
        <v>9</v>
      </c>
      <c r="I16" s="37">
        <f t="shared" si="7"/>
        <v>9</v>
      </c>
      <c r="J16" s="37">
        <f t="shared" si="1"/>
        <v>0.2</v>
      </c>
      <c r="K16">
        <v>7</v>
      </c>
      <c r="L16" s="37">
        <f t="shared" si="2"/>
        <v>7</v>
      </c>
      <c r="M16" s="37">
        <f t="shared" si="3"/>
        <v>0.15555555555555556</v>
      </c>
      <c r="N16" s="37">
        <f t="shared" si="4"/>
        <v>78.400000000000006</v>
      </c>
      <c r="O16" s="61">
        <v>2</v>
      </c>
      <c r="P16" s="37" t="b">
        <f t="shared" si="5"/>
        <v>0</v>
      </c>
    </row>
    <row r="17" spans="1:16" x14ac:dyDescent="0.25">
      <c r="A17" s="60"/>
      <c r="B17" s="37" t="s">
        <v>44</v>
      </c>
      <c r="C17" s="37">
        <v>3</v>
      </c>
      <c r="D17" s="60"/>
      <c r="E17" s="37">
        <v>3</v>
      </c>
      <c r="F17" s="37" t="str">
        <f t="shared" si="6"/>
        <v>Pending</v>
      </c>
      <c r="G17" s="60"/>
      <c r="H17">
        <v>9</v>
      </c>
      <c r="I17" s="37">
        <f t="shared" si="7"/>
        <v>9</v>
      </c>
      <c r="J17" s="37">
        <f t="shared" si="1"/>
        <v>0.15</v>
      </c>
      <c r="K17">
        <v>7</v>
      </c>
      <c r="L17" s="37">
        <f t="shared" si="2"/>
        <v>7</v>
      </c>
      <c r="M17" s="37">
        <f t="shared" si="3"/>
        <v>0.11666666666666667</v>
      </c>
      <c r="N17" s="37">
        <f t="shared" si="4"/>
        <v>58.8</v>
      </c>
      <c r="O17" s="61">
        <v>2</v>
      </c>
      <c r="P17" s="37" t="b">
        <f t="shared" si="5"/>
        <v>0</v>
      </c>
    </row>
    <row r="18" spans="1:16" x14ac:dyDescent="0.25">
      <c r="A18" s="60"/>
      <c r="B18" s="37" t="s">
        <v>41</v>
      </c>
      <c r="C18" s="37">
        <v>3</v>
      </c>
      <c r="D18" s="60"/>
      <c r="E18" s="37">
        <v>5</v>
      </c>
      <c r="F18" s="37" t="str">
        <f t="shared" si="6"/>
        <v>Pending</v>
      </c>
      <c r="G18" s="60"/>
      <c r="H18">
        <v>9</v>
      </c>
      <c r="I18" s="37">
        <f t="shared" si="7"/>
        <v>9</v>
      </c>
      <c r="J18" s="37">
        <f t="shared" si="1"/>
        <v>0.25</v>
      </c>
      <c r="K18">
        <v>7</v>
      </c>
      <c r="L18" s="37">
        <f t="shared" si="2"/>
        <v>7</v>
      </c>
      <c r="M18" s="37">
        <f t="shared" si="3"/>
        <v>0.19444444444444445</v>
      </c>
      <c r="N18" s="37">
        <f t="shared" si="4"/>
        <v>98</v>
      </c>
      <c r="O18" s="61">
        <v>2</v>
      </c>
      <c r="P18" s="37" t="b">
        <f t="shared" si="5"/>
        <v>0</v>
      </c>
    </row>
    <row r="19" spans="1:16" x14ac:dyDescent="0.25">
      <c r="A19" s="60"/>
      <c r="B19" s="37" t="s">
        <v>65</v>
      </c>
      <c r="C19" s="37">
        <v>3</v>
      </c>
      <c r="D19" s="60"/>
      <c r="E19" s="37">
        <v>5</v>
      </c>
      <c r="F19" s="37" t="str">
        <f t="shared" si="6"/>
        <v>Pending</v>
      </c>
      <c r="G19" s="60"/>
      <c r="H19">
        <v>9</v>
      </c>
      <c r="I19" s="37">
        <f t="shared" si="7"/>
        <v>9</v>
      </c>
      <c r="J19" s="37">
        <f t="shared" si="1"/>
        <v>0.25</v>
      </c>
      <c r="K19">
        <v>7</v>
      </c>
      <c r="L19" s="37">
        <f t="shared" si="2"/>
        <v>7</v>
      </c>
      <c r="M19" s="37">
        <f t="shared" si="3"/>
        <v>0.19444444444444445</v>
      </c>
      <c r="N19" s="37">
        <f t="shared" si="4"/>
        <v>98</v>
      </c>
      <c r="O19" s="61">
        <v>1</v>
      </c>
      <c r="P19" s="37" t="b">
        <f t="shared" si="5"/>
        <v>0</v>
      </c>
    </row>
    <row r="20" spans="1:16" x14ac:dyDescent="0.25">
      <c r="A20" s="60"/>
      <c r="B20" s="37" t="s">
        <v>56</v>
      </c>
      <c r="C20" s="37">
        <v>3</v>
      </c>
      <c r="D20" s="60"/>
      <c r="E20" s="37">
        <v>4</v>
      </c>
      <c r="F20" s="37" t="str">
        <f t="shared" si="6"/>
        <v>Pending</v>
      </c>
      <c r="G20" s="60"/>
      <c r="H20">
        <v>9</v>
      </c>
      <c r="I20" s="37">
        <f t="shared" si="7"/>
        <v>9</v>
      </c>
      <c r="J20" s="37">
        <f t="shared" si="1"/>
        <v>0.2</v>
      </c>
      <c r="K20">
        <v>7</v>
      </c>
      <c r="L20" s="37">
        <f t="shared" si="2"/>
        <v>7</v>
      </c>
      <c r="M20" s="37">
        <f t="shared" si="3"/>
        <v>0.15555555555555556</v>
      </c>
      <c r="N20" s="37">
        <f t="shared" si="4"/>
        <v>78.400000000000006</v>
      </c>
      <c r="O20" s="61">
        <v>1</v>
      </c>
      <c r="P20" s="37" t="b">
        <f t="shared" si="5"/>
        <v>0</v>
      </c>
    </row>
    <row r="21" spans="1:16" x14ac:dyDescent="0.25">
      <c r="A21" s="60"/>
      <c r="B21" s="37" t="s">
        <v>55</v>
      </c>
      <c r="C21" s="37">
        <v>3</v>
      </c>
      <c r="D21" s="60"/>
      <c r="E21" s="37">
        <v>5</v>
      </c>
      <c r="F21" s="37" t="str">
        <f t="shared" si="6"/>
        <v>Pending</v>
      </c>
      <c r="G21" s="60"/>
      <c r="H21">
        <v>9</v>
      </c>
      <c r="I21" s="37">
        <f t="shared" si="7"/>
        <v>9</v>
      </c>
      <c r="J21" s="37">
        <f t="shared" si="1"/>
        <v>0.25</v>
      </c>
      <c r="K21">
        <v>7</v>
      </c>
      <c r="L21" s="37">
        <f t="shared" si="2"/>
        <v>7</v>
      </c>
      <c r="M21" s="37">
        <f t="shared" si="3"/>
        <v>0.19444444444444445</v>
      </c>
      <c r="N21" s="37">
        <f t="shared" si="4"/>
        <v>98</v>
      </c>
      <c r="O21" s="61">
        <v>1</v>
      </c>
      <c r="P21" s="37" t="b">
        <f t="shared" si="5"/>
        <v>0</v>
      </c>
    </row>
    <row r="22" spans="1:16" x14ac:dyDescent="0.25">
      <c r="A22" s="60"/>
      <c r="B22" s="37" t="s">
        <v>1</v>
      </c>
      <c r="C22" s="37">
        <v>4</v>
      </c>
      <c r="D22" s="60"/>
      <c r="E22" s="37">
        <v>15</v>
      </c>
      <c r="F22" s="37" t="str">
        <f t="shared" si="6"/>
        <v>Pending</v>
      </c>
      <c r="G22" s="60"/>
      <c r="H22">
        <v>9</v>
      </c>
      <c r="I22" s="37">
        <f t="shared" si="7"/>
        <v>9</v>
      </c>
      <c r="J22" s="37">
        <f t="shared" si="1"/>
        <v>0.75</v>
      </c>
      <c r="K22">
        <v>7</v>
      </c>
      <c r="L22" s="37">
        <f t="shared" si="2"/>
        <v>7</v>
      </c>
      <c r="M22" s="37">
        <f t="shared" si="3"/>
        <v>0.58333333333333337</v>
      </c>
      <c r="N22" s="37">
        <f t="shared" si="4"/>
        <v>294</v>
      </c>
      <c r="O22" s="61">
        <v>3</v>
      </c>
      <c r="P22" s="37" t="b">
        <f t="shared" si="5"/>
        <v>0</v>
      </c>
    </row>
    <row r="23" spans="1:16" x14ac:dyDescent="0.25">
      <c r="A23" s="60"/>
      <c r="B23" s="37" t="s">
        <v>37</v>
      </c>
      <c r="C23" s="37">
        <v>2</v>
      </c>
      <c r="D23" s="60"/>
      <c r="E23" s="37">
        <v>3</v>
      </c>
      <c r="F23" s="37" t="str">
        <f t="shared" si="6"/>
        <v>Pending</v>
      </c>
      <c r="G23" s="60"/>
      <c r="H23">
        <v>9</v>
      </c>
      <c r="I23" s="37">
        <f t="shared" si="7"/>
        <v>9</v>
      </c>
      <c r="J23" s="37">
        <f t="shared" si="1"/>
        <v>0.15</v>
      </c>
      <c r="K23">
        <v>7</v>
      </c>
      <c r="L23" s="37">
        <f t="shared" si="2"/>
        <v>7</v>
      </c>
      <c r="M23" s="37">
        <f t="shared" si="3"/>
        <v>0.11666666666666667</v>
      </c>
      <c r="N23" s="37">
        <f t="shared" si="4"/>
        <v>58.8</v>
      </c>
      <c r="O23" s="61">
        <v>2</v>
      </c>
      <c r="P23" s="37" t="b">
        <f t="shared" si="5"/>
        <v>0</v>
      </c>
    </row>
    <row r="24" spans="1:16" x14ac:dyDescent="0.25">
      <c r="A24" s="60"/>
      <c r="B24" s="37" t="s">
        <v>52</v>
      </c>
      <c r="C24" s="37">
        <v>2</v>
      </c>
      <c r="D24" s="60"/>
      <c r="E24" s="37">
        <v>4</v>
      </c>
      <c r="F24" s="37" t="str">
        <f t="shared" si="6"/>
        <v>Pending</v>
      </c>
      <c r="G24" s="60"/>
      <c r="H24">
        <v>9</v>
      </c>
      <c r="I24" s="37">
        <f t="shared" si="7"/>
        <v>9</v>
      </c>
      <c r="J24" s="37">
        <f t="shared" si="1"/>
        <v>0.2</v>
      </c>
      <c r="K24">
        <v>7</v>
      </c>
      <c r="L24" s="37">
        <f t="shared" si="2"/>
        <v>7</v>
      </c>
      <c r="M24" s="37">
        <f t="shared" si="3"/>
        <v>0.15555555555555556</v>
      </c>
      <c r="N24" s="37">
        <f t="shared" si="4"/>
        <v>78.400000000000006</v>
      </c>
      <c r="O24" s="61">
        <v>1</v>
      </c>
      <c r="P24" s="37" t="b">
        <f t="shared" si="5"/>
        <v>0</v>
      </c>
    </row>
    <row r="25" spans="1:16" x14ac:dyDescent="0.25">
      <c r="A25" s="60"/>
      <c r="B25" s="37" t="s">
        <v>63</v>
      </c>
      <c r="C25" s="37">
        <v>2</v>
      </c>
      <c r="D25" s="60"/>
      <c r="E25" s="37">
        <v>3</v>
      </c>
      <c r="F25" s="37" t="str">
        <f t="shared" si="6"/>
        <v>Pending</v>
      </c>
      <c r="G25" s="60"/>
      <c r="H25">
        <v>9</v>
      </c>
      <c r="I25" s="37">
        <f t="shared" si="7"/>
        <v>9</v>
      </c>
      <c r="J25" s="37">
        <f t="shared" si="1"/>
        <v>0.15</v>
      </c>
      <c r="K25">
        <v>7</v>
      </c>
      <c r="L25" s="37">
        <f t="shared" si="2"/>
        <v>7</v>
      </c>
      <c r="M25" s="37">
        <f t="shared" si="3"/>
        <v>0.11666666666666667</v>
      </c>
      <c r="N25" s="37">
        <f t="shared" si="4"/>
        <v>58.8</v>
      </c>
      <c r="O25" s="61">
        <v>1</v>
      </c>
      <c r="P25" s="37" t="b">
        <f t="shared" si="5"/>
        <v>0</v>
      </c>
    </row>
    <row r="26" spans="1:16" x14ac:dyDescent="0.25">
      <c r="A26" s="60"/>
      <c r="B26" s="37" t="s">
        <v>53</v>
      </c>
      <c r="C26" s="37">
        <v>2</v>
      </c>
      <c r="D26" s="60"/>
      <c r="E26" s="37">
        <v>3</v>
      </c>
      <c r="F26" s="37" t="str">
        <f t="shared" si="6"/>
        <v>Pending</v>
      </c>
      <c r="G26" s="60"/>
      <c r="H26">
        <v>9</v>
      </c>
      <c r="I26" s="37">
        <f t="shared" si="7"/>
        <v>9</v>
      </c>
      <c r="J26" s="37">
        <f t="shared" si="1"/>
        <v>0.15</v>
      </c>
      <c r="K26">
        <v>7</v>
      </c>
      <c r="L26" s="37">
        <f t="shared" si="2"/>
        <v>7</v>
      </c>
      <c r="M26" s="37">
        <f t="shared" si="3"/>
        <v>0.11666666666666667</v>
      </c>
      <c r="N26" s="37">
        <f t="shared" si="4"/>
        <v>58.8</v>
      </c>
      <c r="O26" s="61">
        <v>1</v>
      </c>
      <c r="P26" s="37" t="b">
        <f t="shared" si="5"/>
        <v>0</v>
      </c>
    </row>
    <row r="27" spans="1:16" x14ac:dyDescent="0.25">
      <c r="A27" s="60"/>
      <c r="B27" s="37" t="s">
        <v>38</v>
      </c>
      <c r="C27" s="37">
        <v>2</v>
      </c>
      <c r="D27" s="60"/>
      <c r="E27" s="37">
        <v>5</v>
      </c>
      <c r="F27" s="37" t="str">
        <f t="shared" si="6"/>
        <v>Pending</v>
      </c>
      <c r="G27" s="60"/>
      <c r="H27">
        <v>9</v>
      </c>
      <c r="I27" s="37">
        <f t="shared" si="7"/>
        <v>9</v>
      </c>
      <c r="J27" s="37">
        <f t="shared" si="1"/>
        <v>0.25</v>
      </c>
      <c r="K27">
        <v>7</v>
      </c>
      <c r="L27" s="37">
        <f t="shared" si="2"/>
        <v>7</v>
      </c>
      <c r="M27" s="37">
        <f t="shared" si="3"/>
        <v>0.19444444444444445</v>
      </c>
      <c r="N27" s="37">
        <f t="shared" si="4"/>
        <v>98</v>
      </c>
      <c r="O27" s="61">
        <v>2</v>
      </c>
      <c r="P27" s="37" t="b">
        <f t="shared" si="5"/>
        <v>0</v>
      </c>
    </row>
    <row r="28" spans="1:16" x14ac:dyDescent="0.25">
      <c r="A28" s="60"/>
      <c r="B28" s="37" t="s">
        <v>51</v>
      </c>
      <c r="C28" s="37">
        <v>2</v>
      </c>
      <c r="D28" s="60"/>
      <c r="E28" s="37">
        <v>3</v>
      </c>
      <c r="F28" s="37" t="str">
        <f t="shared" si="6"/>
        <v>Pending</v>
      </c>
      <c r="G28" s="60"/>
      <c r="H28">
        <v>9</v>
      </c>
      <c r="I28" s="37">
        <f t="shared" si="7"/>
        <v>9</v>
      </c>
      <c r="J28" s="37">
        <f t="shared" si="1"/>
        <v>0.15</v>
      </c>
      <c r="K28">
        <v>7</v>
      </c>
      <c r="L28" s="37">
        <f t="shared" si="2"/>
        <v>7</v>
      </c>
      <c r="M28" s="37">
        <f t="shared" si="3"/>
        <v>0.11666666666666667</v>
      </c>
      <c r="N28" s="37">
        <f t="shared" si="4"/>
        <v>58.8</v>
      </c>
      <c r="O28" s="61">
        <v>1</v>
      </c>
      <c r="P28" s="37" t="b">
        <f t="shared" si="5"/>
        <v>0</v>
      </c>
    </row>
    <row r="29" spans="1:16" x14ac:dyDescent="0.25">
      <c r="A29" s="60"/>
      <c r="B29" s="37" t="s">
        <v>0</v>
      </c>
      <c r="C29" s="37">
        <v>2</v>
      </c>
      <c r="D29" s="60"/>
      <c r="E29" s="37">
        <v>15</v>
      </c>
      <c r="F29" s="37" t="str">
        <f t="shared" si="6"/>
        <v>Pending</v>
      </c>
      <c r="G29" s="60"/>
      <c r="H29">
        <v>9</v>
      </c>
      <c r="I29" s="37">
        <f t="shared" si="7"/>
        <v>9</v>
      </c>
      <c r="J29" s="37">
        <f t="shared" si="1"/>
        <v>0.75</v>
      </c>
      <c r="K29">
        <v>7</v>
      </c>
      <c r="L29" s="37">
        <f t="shared" si="2"/>
        <v>7</v>
      </c>
      <c r="M29" s="37">
        <f t="shared" si="3"/>
        <v>0.58333333333333337</v>
      </c>
      <c r="N29" s="37">
        <f t="shared" si="4"/>
        <v>294</v>
      </c>
      <c r="O29" s="61" t="s">
        <v>59</v>
      </c>
      <c r="P29" s="37" t="b">
        <f t="shared" si="5"/>
        <v>0</v>
      </c>
    </row>
    <row r="30" spans="1:16" x14ac:dyDescent="0.25">
      <c r="A30" s="60"/>
      <c r="B30" s="37" t="s">
        <v>39</v>
      </c>
      <c r="C30" s="37">
        <v>2</v>
      </c>
      <c r="D30" s="60"/>
      <c r="E30" s="37">
        <v>3</v>
      </c>
      <c r="F30" s="37" t="str">
        <f t="shared" si="6"/>
        <v>Pending</v>
      </c>
      <c r="G30" s="60"/>
      <c r="H30">
        <v>9</v>
      </c>
      <c r="I30" s="37">
        <f t="shared" si="7"/>
        <v>9</v>
      </c>
      <c r="J30" s="37">
        <f t="shared" si="1"/>
        <v>0.15</v>
      </c>
      <c r="K30">
        <v>7</v>
      </c>
      <c r="L30" s="37">
        <f t="shared" si="2"/>
        <v>7</v>
      </c>
      <c r="M30" s="37">
        <f t="shared" si="3"/>
        <v>0.11666666666666667</v>
      </c>
      <c r="N30" s="37">
        <f t="shared" si="4"/>
        <v>58.8</v>
      </c>
      <c r="O30" s="61">
        <v>2</v>
      </c>
      <c r="P30" s="37" t="b">
        <f t="shared" si="5"/>
        <v>0</v>
      </c>
    </row>
    <row r="31" spans="1:16" x14ac:dyDescent="0.25">
      <c r="A31" s="60"/>
      <c r="B31" s="37" t="s">
        <v>36</v>
      </c>
      <c r="C31" s="37">
        <v>2</v>
      </c>
      <c r="D31" s="60"/>
      <c r="E31" s="37">
        <v>1</v>
      </c>
      <c r="F31" s="37" t="str">
        <f t="shared" si="6"/>
        <v>Pending</v>
      </c>
      <c r="G31" s="60"/>
      <c r="H31">
        <v>9</v>
      </c>
      <c r="I31" s="37">
        <f t="shared" si="7"/>
        <v>9</v>
      </c>
      <c r="J31" s="37">
        <f t="shared" si="1"/>
        <v>0.05</v>
      </c>
      <c r="K31">
        <v>7</v>
      </c>
      <c r="L31" s="37">
        <f t="shared" si="2"/>
        <v>7</v>
      </c>
      <c r="M31" s="37">
        <f t="shared" si="3"/>
        <v>3.888888888888889E-2</v>
      </c>
      <c r="N31" s="37">
        <f t="shared" si="4"/>
        <v>19.600000000000001</v>
      </c>
      <c r="O31" s="61">
        <v>2</v>
      </c>
      <c r="P31" s="37" t="b">
        <f t="shared" si="5"/>
        <v>0</v>
      </c>
    </row>
    <row r="32" spans="1:16" x14ac:dyDescent="0.25">
      <c r="A32" s="60"/>
      <c r="B32" s="37" t="s">
        <v>20</v>
      </c>
      <c r="C32" s="37">
        <v>1</v>
      </c>
      <c r="D32" s="60"/>
      <c r="E32" s="37">
        <v>4</v>
      </c>
      <c r="F32" s="37" t="str">
        <f t="shared" si="6"/>
        <v>Pending</v>
      </c>
      <c r="G32" s="60"/>
      <c r="H32">
        <v>9</v>
      </c>
      <c r="I32" s="37">
        <f t="shared" si="7"/>
        <v>9</v>
      </c>
      <c r="J32" s="37">
        <f t="shared" si="1"/>
        <v>0.2</v>
      </c>
      <c r="K32">
        <v>7</v>
      </c>
      <c r="L32" s="37">
        <f t="shared" si="2"/>
        <v>7</v>
      </c>
      <c r="M32" s="37">
        <f t="shared" si="3"/>
        <v>0.15555555555555556</v>
      </c>
      <c r="N32" s="37">
        <f t="shared" si="4"/>
        <v>78.400000000000006</v>
      </c>
      <c r="O32" s="61" t="s">
        <v>59</v>
      </c>
      <c r="P32" s="37" t="b">
        <f t="shared" si="5"/>
        <v>0</v>
      </c>
    </row>
    <row r="33" spans="1:16" x14ac:dyDescent="0.25">
      <c r="A33" s="60"/>
      <c r="B33" s="37" t="s">
        <v>24</v>
      </c>
      <c r="C33" s="37">
        <v>1</v>
      </c>
      <c r="D33" s="60"/>
      <c r="E33" s="37">
        <v>1</v>
      </c>
      <c r="F33" s="37" t="str">
        <f t="shared" si="6"/>
        <v>Pending</v>
      </c>
      <c r="G33" s="60"/>
      <c r="H33">
        <v>9</v>
      </c>
      <c r="I33" s="37">
        <f t="shared" si="7"/>
        <v>9</v>
      </c>
      <c r="J33" s="37">
        <f t="shared" si="1"/>
        <v>0.05</v>
      </c>
      <c r="K33">
        <v>7</v>
      </c>
      <c r="L33" s="37">
        <f t="shared" si="2"/>
        <v>7</v>
      </c>
      <c r="M33" s="37">
        <f t="shared" si="3"/>
        <v>3.888888888888889E-2</v>
      </c>
      <c r="N33" s="37">
        <f t="shared" si="4"/>
        <v>19.600000000000001</v>
      </c>
      <c r="O33" s="61" t="s">
        <v>59</v>
      </c>
      <c r="P33" s="37" t="b">
        <f t="shared" si="5"/>
        <v>0</v>
      </c>
    </row>
    <row r="34" spans="1:16" x14ac:dyDescent="0.25">
      <c r="A34" s="60"/>
      <c r="B34" s="37" t="s">
        <v>67</v>
      </c>
      <c r="C34" s="37">
        <v>1</v>
      </c>
      <c r="D34" s="60"/>
      <c r="E34" s="37">
        <v>4</v>
      </c>
      <c r="F34" s="37" t="str">
        <f t="shared" si="6"/>
        <v>Pending</v>
      </c>
      <c r="G34" s="60"/>
      <c r="H34">
        <v>9</v>
      </c>
      <c r="I34" s="37">
        <f t="shared" si="7"/>
        <v>9</v>
      </c>
      <c r="J34" s="37">
        <f t="shared" si="1"/>
        <v>0.2</v>
      </c>
      <c r="K34">
        <v>7</v>
      </c>
      <c r="L34" s="37">
        <f t="shared" si="2"/>
        <v>7</v>
      </c>
      <c r="M34" s="37">
        <f t="shared" si="3"/>
        <v>0.15555555555555556</v>
      </c>
      <c r="N34" s="37">
        <f t="shared" si="4"/>
        <v>78.400000000000006</v>
      </c>
      <c r="O34" s="61">
        <v>2</v>
      </c>
      <c r="P34" s="37" t="b">
        <f t="shared" si="5"/>
        <v>0</v>
      </c>
    </row>
    <row r="35" spans="1:16" x14ac:dyDescent="0.25">
      <c r="A35" s="60"/>
      <c r="B35" s="37" t="s">
        <v>35</v>
      </c>
      <c r="C35" s="37">
        <v>1</v>
      </c>
      <c r="D35" s="60"/>
      <c r="E35" s="37">
        <v>3</v>
      </c>
      <c r="F35" s="37" t="str">
        <f t="shared" si="6"/>
        <v>Pending</v>
      </c>
      <c r="G35" s="60"/>
      <c r="H35">
        <v>9</v>
      </c>
      <c r="I35" s="37">
        <f t="shared" si="7"/>
        <v>9</v>
      </c>
      <c r="J35" s="37">
        <f t="shared" si="1"/>
        <v>0.15</v>
      </c>
      <c r="K35">
        <v>7</v>
      </c>
      <c r="L35" s="37">
        <f t="shared" si="2"/>
        <v>7</v>
      </c>
      <c r="M35" s="37">
        <f t="shared" si="3"/>
        <v>0.11666666666666667</v>
      </c>
      <c r="N35" s="37">
        <f t="shared" si="4"/>
        <v>58.8</v>
      </c>
      <c r="O35" s="61">
        <v>2</v>
      </c>
      <c r="P35" s="37" t="b">
        <f t="shared" si="5"/>
        <v>0</v>
      </c>
    </row>
    <row r="36" spans="1:16" x14ac:dyDescent="0.25">
      <c r="A36" s="60"/>
      <c r="B36" s="37" t="s">
        <v>94</v>
      </c>
      <c r="C36" s="37">
        <v>1</v>
      </c>
      <c r="D36" s="60"/>
      <c r="E36" s="37">
        <v>5</v>
      </c>
      <c r="F36" s="37" t="str">
        <f t="shared" si="6"/>
        <v>Pending</v>
      </c>
      <c r="G36" s="60"/>
      <c r="H36">
        <v>9</v>
      </c>
      <c r="I36" s="37">
        <f t="shared" si="7"/>
        <v>9</v>
      </c>
      <c r="J36" s="37">
        <f t="shared" si="1"/>
        <v>0.25</v>
      </c>
      <c r="K36">
        <v>7</v>
      </c>
      <c r="L36" s="37">
        <f t="shared" si="2"/>
        <v>7</v>
      </c>
      <c r="M36" s="37">
        <f t="shared" si="3"/>
        <v>0.19444444444444445</v>
      </c>
      <c r="N36" s="37">
        <f t="shared" si="4"/>
        <v>98</v>
      </c>
      <c r="O36" s="61">
        <v>1</v>
      </c>
      <c r="P36" s="37" t="b">
        <f t="shared" si="5"/>
        <v>0</v>
      </c>
    </row>
    <row r="37" spans="1:16" x14ac:dyDescent="0.25">
      <c r="A37" s="60"/>
      <c r="B37" s="37" t="s">
        <v>50</v>
      </c>
      <c r="C37" s="37">
        <v>1</v>
      </c>
      <c r="D37" s="60"/>
      <c r="E37" s="37">
        <v>4</v>
      </c>
      <c r="F37" s="37" t="str">
        <f t="shared" si="6"/>
        <v>Pending</v>
      </c>
      <c r="G37" s="60"/>
      <c r="H37">
        <v>9</v>
      </c>
      <c r="I37" s="37">
        <f t="shared" si="7"/>
        <v>9</v>
      </c>
      <c r="J37" s="37">
        <f t="shared" si="1"/>
        <v>0.2</v>
      </c>
      <c r="K37">
        <v>7</v>
      </c>
      <c r="L37" s="37">
        <f t="shared" si="2"/>
        <v>7</v>
      </c>
      <c r="M37" s="37">
        <f t="shared" si="3"/>
        <v>0.15555555555555556</v>
      </c>
      <c r="N37" s="37">
        <f t="shared" si="4"/>
        <v>78.400000000000006</v>
      </c>
      <c r="O37" s="61">
        <v>1</v>
      </c>
      <c r="P37" s="37" t="b">
        <f t="shared" si="5"/>
        <v>0</v>
      </c>
    </row>
    <row r="38" spans="1:16" x14ac:dyDescent="0.25">
      <c r="A38" s="60"/>
      <c r="B38" s="37" t="s">
        <v>33</v>
      </c>
      <c r="C38" s="37">
        <v>1</v>
      </c>
      <c r="D38" s="60"/>
      <c r="E38" s="37">
        <v>3</v>
      </c>
      <c r="F38" s="37" t="str">
        <f t="shared" si="6"/>
        <v>Pending</v>
      </c>
      <c r="G38" s="60"/>
      <c r="H38">
        <v>9</v>
      </c>
      <c r="I38" s="37">
        <f t="shared" si="7"/>
        <v>9</v>
      </c>
      <c r="J38" s="37">
        <f t="shared" si="1"/>
        <v>0.15</v>
      </c>
      <c r="K38">
        <v>7</v>
      </c>
      <c r="L38" s="37">
        <f t="shared" si="2"/>
        <v>7</v>
      </c>
      <c r="M38" s="37">
        <f t="shared" si="3"/>
        <v>0.11666666666666667</v>
      </c>
      <c r="N38" s="37">
        <f t="shared" si="4"/>
        <v>58.8</v>
      </c>
      <c r="O38" s="61">
        <v>2</v>
      </c>
      <c r="P38" s="37" t="b">
        <f t="shared" si="5"/>
        <v>0</v>
      </c>
    </row>
    <row r="39" spans="1:16" x14ac:dyDescent="0.25">
      <c r="A39" s="60"/>
      <c r="B39" s="37" t="s">
        <v>66</v>
      </c>
      <c r="C39" s="37">
        <v>1</v>
      </c>
      <c r="D39" s="60"/>
      <c r="E39" s="37">
        <v>4</v>
      </c>
      <c r="F39" s="37" t="str">
        <f t="shared" si="6"/>
        <v>Pending</v>
      </c>
      <c r="G39" s="60"/>
      <c r="H39">
        <v>9</v>
      </c>
      <c r="I39" s="37">
        <f t="shared" si="7"/>
        <v>9</v>
      </c>
      <c r="J39" s="37">
        <f t="shared" si="1"/>
        <v>0.2</v>
      </c>
      <c r="K39">
        <v>7</v>
      </c>
      <c r="L39" s="37">
        <f t="shared" si="2"/>
        <v>7</v>
      </c>
      <c r="M39" s="37">
        <f t="shared" si="3"/>
        <v>0.15555555555555556</v>
      </c>
      <c r="N39" s="37">
        <f t="shared" si="4"/>
        <v>78.400000000000006</v>
      </c>
      <c r="O39" s="61">
        <v>2</v>
      </c>
      <c r="P39" s="37" t="b">
        <f t="shared" si="5"/>
        <v>0</v>
      </c>
    </row>
    <row r="40" spans="1:16" x14ac:dyDescent="0.25">
      <c r="A40" s="60"/>
      <c r="B40" s="37" t="s">
        <v>22</v>
      </c>
      <c r="C40" s="37">
        <v>1</v>
      </c>
      <c r="D40" s="60"/>
      <c r="E40" s="37">
        <v>2</v>
      </c>
      <c r="F40" s="37" t="str">
        <f t="shared" si="6"/>
        <v>Pending</v>
      </c>
      <c r="G40" s="60"/>
      <c r="H40">
        <v>9</v>
      </c>
      <c r="I40" s="37">
        <f t="shared" si="7"/>
        <v>9</v>
      </c>
      <c r="J40" s="37">
        <f t="shared" si="1"/>
        <v>0.1</v>
      </c>
      <c r="K40">
        <v>7</v>
      </c>
      <c r="L40" s="37">
        <f t="shared" si="2"/>
        <v>7</v>
      </c>
      <c r="M40" s="37">
        <f t="shared" si="3"/>
        <v>7.7777777777777779E-2</v>
      </c>
      <c r="N40" s="37">
        <f t="shared" si="4"/>
        <v>39.200000000000003</v>
      </c>
      <c r="O40" s="61" t="s">
        <v>59</v>
      </c>
      <c r="P40" s="37" t="b">
        <f t="shared" si="5"/>
        <v>0</v>
      </c>
    </row>
    <row r="41" spans="1:16" x14ac:dyDescent="0.25">
      <c r="A41" s="60"/>
      <c r="B41" s="37" t="s">
        <v>16</v>
      </c>
      <c r="C41" s="37">
        <v>1</v>
      </c>
      <c r="D41" s="60"/>
      <c r="E41" s="37">
        <v>5</v>
      </c>
      <c r="F41" s="37" t="str">
        <f t="shared" si="6"/>
        <v>Pending</v>
      </c>
      <c r="G41" s="60"/>
      <c r="H41">
        <v>9</v>
      </c>
      <c r="I41" s="37">
        <f t="shared" si="7"/>
        <v>9</v>
      </c>
      <c r="J41" s="37">
        <f t="shared" si="1"/>
        <v>0.25</v>
      </c>
      <c r="K41">
        <v>7</v>
      </c>
      <c r="L41" s="37">
        <f t="shared" si="2"/>
        <v>7</v>
      </c>
      <c r="M41" s="37">
        <f t="shared" si="3"/>
        <v>0.19444444444444445</v>
      </c>
      <c r="N41" s="37">
        <f t="shared" si="4"/>
        <v>98</v>
      </c>
      <c r="O41" s="61" t="s">
        <v>59</v>
      </c>
      <c r="P41" s="37" t="b">
        <f t="shared" si="5"/>
        <v>0</v>
      </c>
    </row>
    <row r="42" spans="1:16" x14ac:dyDescent="0.25">
      <c r="A42" s="60"/>
      <c r="B42" s="37" t="s">
        <v>21</v>
      </c>
      <c r="C42" s="37">
        <v>1</v>
      </c>
      <c r="D42" s="60"/>
      <c r="E42" s="37">
        <v>3</v>
      </c>
      <c r="F42" s="37" t="str">
        <f t="shared" si="6"/>
        <v>Pending</v>
      </c>
      <c r="G42" s="60"/>
      <c r="H42">
        <v>9</v>
      </c>
      <c r="I42" s="37">
        <f t="shared" si="7"/>
        <v>9</v>
      </c>
      <c r="J42" s="37">
        <f t="shared" si="1"/>
        <v>0.15</v>
      </c>
      <c r="K42">
        <v>7</v>
      </c>
      <c r="L42" s="37">
        <f t="shared" si="2"/>
        <v>7</v>
      </c>
      <c r="M42" s="37">
        <f t="shared" si="3"/>
        <v>0.11666666666666667</v>
      </c>
      <c r="N42" s="37">
        <f t="shared" si="4"/>
        <v>58.8</v>
      </c>
      <c r="O42" s="61" t="s">
        <v>59</v>
      </c>
      <c r="P42" s="37" t="b">
        <f t="shared" si="5"/>
        <v>0</v>
      </c>
    </row>
    <row r="43" spans="1:16" x14ac:dyDescent="0.25">
      <c r="A43" s="60"/>
      <c r="B43" s="37" t="s">
        <v>32</v>
      </c>
      <c r="C43" s="37">
        <v>1</v>
      </c>
      <c r="D43" s="60"/>
      <c r="E43" s="37">
        <v>5</v>
      </c>
      <c r="F43" s="37" t="str">
        <f t="shared" si="6"/>
        <v>Pending</v>
      </c>
      <c r="G43" s="60"/>
      <c r="H43">
        <v>9</v>
      </c>
      <c r="I43" s="37">
        <f t="shared" si="7"/>
        <v>9</v>
      </c>
      <c r="J43" s="37">
        <f t="shared" si="1"/>
        <v>0.25</v>
      </c>
      <c r="K43">
        <v>7</v>
      </c>
      <c r="L43" s="37">
        <f t="shared" si="2"/>
        <v>7</v>
      </c>
      <c r="M43" s="37">
        <f t="shared" si="3"/>
        <v>0.19444444444444445</v>
      </c>
      <c r="N43" s="37">
        <f t="shared" si="4"/>
        <v>98</v>
      </c>
      <c r="O43" s="61">
        <v>2</v>
      </c>
      <c r="P43" s="37" t="b">
        <f t="shared" si="5"/>
        <v>0</v>
      </c>
    </row>
    <row r="44" spans="1:16" x14ac:dyDescent="0.25">
      <c r="A44" s="60"/>
      <c r="B44" s="37" t="s">
        <v>64</v>
      </c>
      <c r="C44" s="37">
        <v>1</v>
      </c>
      <c r="D44" s="60"/>
      <c r="E44" s="37">
        <v>3</v>
      </c>
      <c r="F44" s="37" t="str">
        <f t="shared" si="6"/>
        <v>Pending</v>
      </c>
      <c r="G44" s="60"/>
      <c r="H44">
        <v>9</v>
      </c>
      <c r="I44" s="37">
        <f t="shared" si="7"/>
        <v>9</v>
      </c>
      <c r="J44" s="37">
        <f t="shared" si="1"/>
        <v>0.15</v>
      </c>
      <c r="K44">
        <v>7</v>
      </c>
      <c r="L44" s="37">
        <f t="shared" si="2"/>
        <v>7</v>
      </c>
      <c r="M44" s="37">
        <f t="shared" si="3"/>
        <v>0.11666666666666667</v>
      </c>
      <c r="N44" s="37">
        <f t="shared" si="4"/>
        <v>58.8</v>
      </c>
      <c r="O44" s="61">
        <v>1</v>
      </c>
      <c r="P44" s="37" t="b">
        <f t="shared" si="5"/>
        <v>0</v>
      </c>
    </row>
    <row r="45" spans="1:16" x14ac:dyDescent="0.25">
      <c r="A45" s="60"/>
      <c r="B45" s="37" t="s">
        <v>48</v>
      </c>
      <c r="C45" s="37">
        <v>1</v>
      </c>
      <c r="D45" s="60"/>
      <c r="E45" s="37">
        <v>3</v>
      </c>
      <c r="F45" s="37" t="str">
        <f t="shared" si="6"/>
        <v>Pending</v>
      </c>
      <c r="G45" s="60"/>
      <c r="H45">
        <v>9</v>
      </c>
      <c r="I45" s="37">
        <f t="shared" si="7"/>
        <v>9</v>
      </c>
      <c r="J45" s="37">
        <f t="shared" si="1"/>
        <v>0.15</v>
      </c>
      <c r="K45">
        <v>7</v>
      </c>
      <c r="L45" s="37">
        <f t="shared" si="2"/>
        <v>7</v>
      </c>
      <c r="M45" s="37">
        <f t="shared" si="3"/>
        <v>0.11666666666666667</v>
      </c>
      <c r="N45" s="37">
        <f t="shared" si="4"/>
        <v>58.8</v>
      </c>
      <c r="O45" s="61">
        <v>1</v>
      </c>
      <c r="P45" s="37" t="b">
        <f t="shared" si="5"/>
        <v>0</v>
      </c>
    </row>
    <row r="46" spans="1:16" x14ac:dyDescent="0.25">
      <c r="A46" s="60"/>
      <c r="B46" s="37" t="s">
        <v>49</v>
      </c>
      <c r="C46" s="37">
        <v>1</v>
      </c>
      <c r="D46" s="60"/>
      <c r="E46" s="37">
        <v>2</v>
      </c>
      <c r="F46" s="37" t="str">
        <f t="shared" si="6"/>
        <v>Pending</v>
      </c>
      <c r="G46" s="60"/>
      <c r="H46">
        <v>9</v>
      </c>
      <c r="I46" s="37">
        <f t="shared" si="7"/>
        <v>9</v>
      </c>
      <c r="J46" s="37">
        <f t="shared" si="1"/>
        <v>0.1</v>
      </c>
      <c r="K46">
        <v>7</v>
      </c>
      <c r="L46" s="37">
        <f t="shared" si="2"/>
        <v>7</v>
      </c>
      <c r="M46" s="37">
        <f t="shared" si="3"/>
        <v>7.7777777777777779E-2</v>
      </c>
      <c r="N46" s="37">
        <f t="shared" si="4"/>
        <v>39.200000000000003</v>
      </c>
      <c r="O46" s="61">
        <v>1</v>
      </c>
      <c r="P46" s="37" t="b">
        <f t="shared" si="5"/>
        <v>0</v>
      </c>
    </row>
  </sheetData>
  <sortState xmlns:xlrd2="http://schemas.microsoft.com/office/spreadsheetml/2017/richdata2" ref="B2:O46">
    <sortCondition descending="1" ref="C2:C46"/>
  </sortState>
  <phoneticPr fontId="1" type="noConversion"/>
  <conditionalFormatting sqref="F2:F46">
    <cfRule type="expression" dxfId="14" priority="23">
      <formula>$F2="Definitive"</formula>
    </cfRule>
  </conditionalFormatting>
  <conditionalFormatting sqref="O2:O46">
    <cfRule type="expression" dxfId="13" priority="37">
      <formula>$O2="Minor"</formula>
    </cfRule>
    <cfRule type="expression" dxfId="12" priority="38">
      <formula>$O2=1</formula>
    </cfRule>
    <cfRule type="expression" dxfId="11" priority="39">
      <formula>$O2=2</formula>
    </cfRule>
    <cfRule type="expression" dxfId="10" priority="40">
      <formula>$O2=3</formula>
    </cfRule>
  </conditionalFormatting>
  <conditionalFormatting sqref="P2:P46">
    <cfRule type="expression" dxfId="9" priority="15">
      <formula>P2=FALSE</formula>
    </cfRule>
    <cfRule type="expression" dxfId="8" priority="16">
      <formula>P2=TRUE</formula>
    </cfRule>
  </conditionalFormatting>
  <conditionalFormatting sqref="G2:G46 B2:B46 I2:I46 L2:L46">
    <cfRule type="expression" dxfId="7" priority="3">
      <formula>ISBLANK($D2)</formula>
    </cfRule>
    <cfRule type="expression" dxfId="6" priority="4">
      <formula>AND($G2=1, $M2&gt;0)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A1:M28"/>
  <sheetViews>
    <sheetView zoomScale="70" zoomScaleNormal="70" workbookViewId="0">
      <selection activeCell="D39" sqref="D39"/>
    </sheetView>
  </sheetViews>
  <sheetFormatPr defaultRowHeight="14.3" x14ac:dyDescent="0.25"/>
  <cols>
    <col min="1" max="1" width="54" style="1" customWidth="1"/>
    <col min="2" max="2" width="9.375" style="1" customWidth="1"/>
    <col min="3" max="3" width="8.375" style="1" customWidth="1"/>
    <col min="4" max="4" width="10.75" style="1" customWidth="1"/>
    <col min="5" max="5" width="8.375" style="1" customWidth="1"/>
    <col min="6" max="6" width="16.875" style="1" customWidth="1"/>
    <col min="7" max="7" width="23.125" style="1" customWidth="1"/>
    <col min="8" max="8" width="15.5" style="1" customWidth="1"/>
    <col min="9" max="9" width="22.5" style="1" customWidth="1"/>
    <col min="10" max="10" width="25.5" style="1" customWidth="1"/>
    <col min="11" max="11" width="9" style="1"/>
    <col min="12" max="12" width="11.125" style="1" bestFit="1" customWidth="1"/>
    <col min="13" max="16384" width="9" style="1"/>
  </cols>
  <sheetData>
    <row r="1" spans="1:13" x14ac:dyDescent="0.25">
      <c r="A1" s="5" t="s">
        <v>25</v>
      </c>
      <c r="B1" s="5" t="s">
        <v>61</v>
      </c>
      <c r="C1" s="5" t="s">
        <v>26</v>
      </c>
      <c r="D1" s="5" t="s">
        <v>62</v>
      </c>
      <c r="E1" s="5" t="s">
        <v>96</v>
      </c>
      <c r="F1" s="5" t="s">
        <v>84</v>
      </c>
      <c r="G1" s="5" t="s">
        <v>81</v>
      </c>
      <c r="H1" s="5" t="s">
        <v>83</v>
      </c>
      <c r="I1" s="5" t="s">
        <v>82</v>
      </c>
    </row>
    <row r="2" spans="1:13" x14ac:dyDescent="0.25">
      <c r="A2" s="1" t="s">
        <v>22</v>
      </c>
      <c r="B2" s="47" cm="1">
        <f t="array" ref="B2">MROUND(SUMPRODUCT(_xlfn._xlws.FILTER(_xlfn._xlws.FILTER(Courses!$B$2:$E$46, IF(NOT(ISERROR(SEARCH(LEFT(A2,FIND(" ",A2)-1), Courses!$B$2:$B$46, 1))), TRUE, FALSE)), {0,0,1,0}), _xlfn._xlws.FILTER(_xlfn._xlws.FILTER(Courses!$B$2:$E$46, IF(NOT(ISERROR(SEARCH(LEFT(A2,FIND(" ",A2)-1), Courses!$B$2:$B$46, 1))), TRUE, FALSE)), {0,0,0,1}))/SUM(_xlfn._xlws.FILTER(_xlfn._xlws.FILTER(Courses!$B$2:$E$46, IF(NOT(ISERROR(SEARCH(LEFT(A2,FIND(" ",A2)-1), Courses!$B$2:$B$46, 1))), TRUE, FALSE)), {0,0,0,1})), 0.5)</f>
        <v>0</v>
      </c>
      <c r="C2" s="1" cm="1">
        <f t="array" ref="C2">SUM(_xlfn._xlws.FILTER(_xlfn._xlws.FILTER(Courses!$B$2:$E$46, IF(NOT(ISERROR(SEARCH(LEFT(A2,FIND(" ",A2)-1), Courses!$B$2:$B$46, 1))), TRUE, FALSE)), {0,0,0,1}))</f>
        <v>2</v>
      </c>
      <c r="D2" s="48" t="str" cm="1">
        <f t="array" ref="D2">_xlfn.XLOOKUP(1, --ISNUMBER(SEARCH(LEFT(A2,FIND(" ",A2)-1), Courses!$B$2:$B$46)), Courses!$O$2:$O$46, "no match")</f>
        <v>Minor</v>
      </c>
      <c r="E2" s="1" t="b" cm="1">
        <f t="array" ref="E2">AND(AND(_xlfn._xlws.FILTER(_xlfn._xlws.FILTER(Courses!$B$2:$P$46,IF(NOT(ISERROR(SEARCH(LEFT(A2,FIND(" ",A2)-1),Courses!$B$2:$B$46,1))),TRUE,FALSE)),{0,0,0,0,0,0,0,0,0,0,0,0,0,0,1})), B2&gt;5.99)</f>
        <v>0</v>
      </c>
      <c r="F2" s="1" cm="1">
        <f t="array" ref="F2">MROUND(SUMPRODUCT(
_xlfn._xlws.FILTER(_xlfn._xlws.FILTER(Courses!$B$2:$O$46, IF(NOT(ISERROR(SEARCH(LEFT(A2,FIND(" ",A2)-1), Courses!$B$2:$B$46, 1))), TRUE, FALSE)), {0,0,0,0,0,0,0,1,0,0,0,0,0,0}),
_xlfn._xlws.FILTER(_xlfn._xlws.FILTER(Courses!$B$2:$O$46, IF(NOT(ISERROR(SEARCH(LEFT(A2,FIND(" ",A2)-1), Courses!$B$2:$B$46, 1))), TRUE, FALSE)), {0,0,0,1,0,0,0,0,0,0,0,0,0,0}))
/SUM(_xlfn._xlws.FILTER(_xlfn._xlws.FILTER(Courses!$B$2:$O$46, IF(NOT(ISERROR(SEARCH(LEFT(A2,FIND(" ",A2)-1), Courses!$B$2:$B$46, 1))), TRUE, FALSE)), {0,0,0,1,0,0,0,0,0,0,0,0,0,0})), 0.5)</f>
        <v>9</v>
      </c>
      <c r="G2" s="1">
        <f>MAX((F2-B2)*C2/SUM($C$2:$C$28), 0)</f>
        <v>9.9447513812154692E-2</v>
      </c>
      <c r="H2" s="1" cm="1">
        <f t="array" ref="H2">MROUND(SUMPRODUCT(
_xlfn._xlws.FILTER(_xlfn._xlws.FILTER(Courses!$B$2:$O$46, IF(NOT(ISERROR(SEARCH(LEFT(A2,FIND(" ",A2)-1), Courses!$B$2:$B$46, 1))), TRUE, FALSE)), {0,0,0,0,0,0,0,0,0,0,1,0,0,0}),
_xlfn._xlws.FILTER(_xlfn._xlws.FILTER(Courses!$B$2:$O$46, IF(NOT(ISERROR(SEARCH(LEFT(A2,FIND(" ",A2)-1), Courses!$B$2:$B$46, 1))), TRUE, FALSE)), {0,0,0,1,0,0,0,0,0,0,0,0,0,0}))
/SUM(_xlfn._xlws.FILTER(_xlfn._xlws.FILTER(Courses!$B$2:$O$46, IF(NOT(ISERROR(SEARCH(LEFT(A2,FIND(" ",A2)-1), Courses!$B$2:$B$46, 1))), TRUE, FALSE)), {0,0,0,1,0,0,0,0,0,0,0,0,0,0})), 0.5)</f>
        <v>7</v>
      </c>
      <c r="I2" s="1">
        <f>MAX((H2-B2)*C2/SUM($C$2:$C$28), 0)</f>
        <v>7.7348066298342538E-2</v>
      </c>
    </row>
    <row r="3" spans="1:13" x14ac:dyDescent="0.25">
      <c r="A3" s="1" t="s">
        <v>20</v>
      </c>
      <c r="B3" s="47" cm="1">
        <f t="array" ref="B3">MROUND(SUMPRODUCT(_xlfn._xlws.FILTER(_xlfn._xlws.FILTER(Courses!$B$2:$E$46, IF(NOT(ISERROR(SEARCH(LEFT(A3,FIND(" ",A3)-1), Courses!$B$2:$B$46, 1))), TRUE, FALSE)), {0,0,1,0}), _xlfn._xlws.FILTER(_xlfn._xlws.FILTER(Courses!$B$2:$E$46, IF(NOT(ISERROR(SEARCH(LEFT(A3,FIND(" ",A3)-1), Courses!$B$2:$B$46, 1))), TRUE, FALSE)), {0,0,0,1}))/SUM(_xlfn._xlws.FILTER(_xlfn._xlws.FILTER(Courses!$B$2:$E$46, IF(NOT(ISERROR(SEARCH(LEFT(A3,FIND(" ",A3)-1), Courses!$B$2:$B$46, 1))), TRUE, FALSE)), {0,0,0,1})), 0.5)</f>
        <v>0</v>
      </c>
      <c r="C3" s="1" cm="1">
        <f t="array" ref="C3">SUM(_xlfn._xlws.FILTER(_xlfn._xlws.FILTER(Courses!$B$2:$E$46, IF(NOT(ISERROR(SEARCH(LEFT(A3,FIND(" ",A3)-1), Courses!$B$2:$B$46, 1))), TRUE, FALSE)), {0,0,0,1}))</f>
        <v>4</v>
      </c>
      <c r="D3" s="48" t="str" cm="1">
        <f t="array" ref="D3">_xlfn.XLOOKUP(1, --ISNUMBER(SEARCH(LEFT(A3,FIND(" ",A3)-1), Courses!$B$2:$B$46)), Courses!$O$2:$O$46, "no match")</f>
        <v>Minor</v>
      </c>
      <c r="E3" s="1" t="b" cm="1">
        <f t="array" ref="E3">AND(AND(_xlfn._xlws.FILTER(_xlfn._xlws.FILTER(Courses!$B$2:$P$46,IF(NOT(ISERROR(SEARCH(LEFT(A3,FIND(" ",A3)-1),Courses!$B$2:$B$46,1))),TRUE,FALSE)),{0,0,0,0,0,0,0,0,0,0,0,0,0,0,1})), B3&gt;5.99)</f>
        <v>0</v>
      </c>
      <c r="F3" s="1" cm="1">
        <f t="array" ref="F3">MROUND(SUMPRODUCT(
_xlfn._xlws.FILTER(_xlfn._xlws.FILTER(Courses!$B$2:$O$46, IF(NOT(ISERROR(SEARCH(LEFT(A3,FIND(" ",A3)-1), Courses!$B$2:$B$46, 1))), TRUE, FALSE)), {0,0,0,0,0,0,0,1,0,0,0,0,0,0}),
_xlfn._xlws.FILTER(_xlfn._xlws.FILTER(Courses!$B$2:$O$46, IF(NOT(ISERROR(SEARCH(LEFT(A3,FIND(" ",A3)-1), Courses!$B$2:$B$46, 1))), TRUE, FALSE)), {0,0,0,1,0,0,0,0,0,0,0,0,0,0}))
/SUM(_xlfn._xlws.FILTER(_xlfn._xlws.FILTER(Courses!$B$2:$O$46, IF(NOT(ISERROR(SEARCH(LEFT(A3,FIND(" ",A3)-1), Courses!$B$2:$B$46, 1))), TRUE, FALSE)), {0,0,0,1,0,0,0,0,0,0,0,0,0,0})), 0.5)</f>
        <v>9</v>
      </c>
      <c r="G3" s="1">
        <f t="shared" ref="G3:G28" si="0">MAX((F3-B3)*C3/SUM($C$2:$C$28), 0)</f>
        <v>0.19889502762430938</v>
      </c>
      <c r="H3" s="1" cm="1">
        <f t="array" ref="H3">MROUND(SUMPRODUCT(
_xlfn._xlws.FILTER(_xlfn._xlws.FILTER(Courses!$B$2:$O$46, IF(NOT(ISERROR(SEARCH(LEFT(A3,FIND(" ",A3)-1), Courses!$B$2:$B$46, 1))), TRUE, FALSE)), {0,0,0,0,0,0,0,0,0,0,1,0,0,0}),
_xlfn._xlws.FILTER(_xlfn._xlws.FILTER(Courses!$B$2:$O$46, IF(NOT(ISERROR(SEARCH(LEFT(A3,FIND(" ",A3)-1), Courses!$B$2:$B$46, 1))), TRUE, FALSE)), {0,0,0,1,0,0,0,0,0,0,0,0,0,0}))
/SUM(_xlfn._xlws.FILTER(_xlfn._xlws.FILTER(Courses!$B$2:$O$46, IF(NOT(ISERROR(SEARCH(LEFT(A3,FIND(" ",A3)-1), Courses!$B$2:$B$46, 1))), TRUE, FALSE)), {0,0,0,1,0,0,0,0,0,0,0,0,0,0})), 0.5)</f>
        <v>7</v>
      </c>
      <c r="I3" s="1">
        <f t="shared" ref="I3:I28" si="1">MAX((H3-B3)*C3/SUM($C$2:$C$28), 0)</f>
        <v>0.15469613259668508</v>
      </c>
    </row>
    <row r="4" spans="1:13" ht="16.3" x14ac:dyDescent="0.25">
      <c r="A4" s="1" t="s">
        <v>0</v>
      </c>
      <c r="B4" s="47" cm="1">
        <f t="array" ref="B4">MROUND(SUMPRODUCT(_xlfn._xlws.FILTER(_xlfn._xlws.FILTER(Courses!$B$2:$E$46, IF(NOT(ISERROR(SEARCH(LEFT(A4,FIND(" ",A4)-1), Courses!$B$2:$B$46, 1))), TRUE, FALSE)), {0,0,1,0}), _xlfn._xlws.FILTER(_xlfn._xlws.FILTER(Courses!$B$2:$E$46, IF(NOT(ISERROR(SEARCH(LEFT(A4,FIND(" ",A4)-1), Courses!$B$2:$B$46, 1))), TRUE, FALSE)), {0,0,0,1}))/SUM(_xlfn._xlws.FILTER(_xlfn._xlws.FILTER(Courses!$B$2:$E$46, IF(NOT(ISERROR(SEARCH(LEFT(A4,FIND(" ",A4)-1), Courses!$B$2:$B$46, 1))), TRUE, FALSE)), {0,0,0,1})), 0.5)</f>
        <v>0</v>
      </c>
      <c r="C4" s="1" cm="1">
        <f t="array" ref="C4">SUM(_xlfn._xlws.FILTER(_xlfn._xlws.FILTER(Courses!$B$2:$E$46, IF(NOT(ISERROR(SEARCH(LEFT(A4,FIND(" ",A4)-1), Courses!$B$2:$B$46, 1))), TRUE, FALSE)), {0,0,0,1}))</f>
        <v>15</v>
      </c>
      <c r="D4" s="48" t="str" cm="1">
        <f t="array" ref="D4">_xlfn.XLOOKUP(1, --ISNUMBER(SEARCH(LEFT(A4,FIND(" ",A4)-1), Courses!$B$2:$B$46)), Courses!$O$2:$O$46, "no match")</f>
        <v>Minor</v>
      </c>
      <c r="E4" s="1" t="b" cm="1">
        <f t="array" ref="E4">AND(AND(_xlfn._xlws.FILTER(_xlfn._xlws.FILTER(Courses!$B$2:$P$46,IF(NOT(ISERROR(SEARCH(LEFT(A4,FIND(" ",A4)-1),Courses!$B$2:$B$46,1))),TRUE,FALSE)),{0,0,0,0,0,0,0,0,0,0,0,0,0,0,1})), B4&gt;5.99)</f>
        <v>0</v>
      </c>
      <c r="F4" s="1" cm="1">
        <f t="array" ref="F4">MROUND(SUMPRODUCT(
_xlfn._xlws.FILTER(_xlfn._xlws.FILTER(Courses!$B$2:$O$46, IF(NOT(ISERROR(SEARCH(LEFT(A4,FIND(" ",A4)-1), Courses!$B$2:$B$46, 1))), TRUE, FALSE)), {0,0,0,0,0,0,0,1,0,0,0,0,0,0}),
_xlfn._xlws.FILTER(_xlfn._xlws.FILTER(Courses!$B$2:$O$46, IF(NOT(ISERROR(SEARCH(LEFT(A4,FIND(" ",A4)-1), Courses!$B$2:$B$46, 1))), TRUE, FALSE)), {0,0,0,1,0,0,0,0,0,0,0,0,0,0}))
/SUM(_xlfn._xlws.FILTER(_xlfn._xlws.FILTER(Courses!$B$2:$O$46, IF(NOT(ISERROR(SEARCH(LEFT(A4,FIND(" ",A4)-1), Courses!$B$2:$B$46, 1))), TRUE, FALSE)), {0,0,0,1,0,0,0,0,0,0,0,0,0,0})), 0.5)</f>
        <v>9</v>
      </c>
      <c r="G4" s="1">
        <f t="shared" si="0"/>
        <v>0.7458563535911602</v>
      </c>
      <c r="H4" s="1" cm="1">
        <f t="array" ref="H4">MROUND(SUMPRODUCT(
_xlfn._xlws.FILTER(_xlfn._xlws.FILTER(Courses!$B$2:$O$46, IF(NOT(ISERROR(SEARCH(LEFT(A4,FIND(" ",A4)-1), Courses!$B$2:$B$46, 1))), TRUE, FALSE)), {0,0,0,0,0,0,0,0,0,0,1,0,0,0}),
_xlfn._xlws.FILTER(_xlfn._xlws.FILTER(Courses!$B$2:$O$46, IF(NOT(ISERROR(SEARCH(LEFT(A4,FIND(" ",A4)-1), Courses!$B$2:$B$46, 1))), TRUE, FALSE)), {0,0,0,1,0,0,0,0,0,0,0,0,0,0}))
/SUM(_xlfn._xlws.FILTER(_xlfn._xlws.FILTER(Courses!$B$2:$O$46, IF(NOT(ISERROR(SEARCH(LEFT(A4,FIND(" ",A4)-1), Courses!$B$2:$B$46, 1))), TRUE, FALSE)), {0,0,0,1,0,0,0,0,0,0,0,0,0,0})), 0.5)</f>
        <v>7</v>
      </c>
      <c r="I4" s="1">
        <f t="shared" si="1"/>
        <v>0.58011049723756902</v>
      </c>
      <c r="K4" s="49"/>
      <c r="M4" s="47"/>
    </row>
    <row r="5" spans="1:13" x14ac:dyDescent="0.25">
      <c r="A5" s="1" t="s">
        <v>24</v>
      </c>
      <c r="B5" s="47" cm="1">
        <f t="array" ref="B5">MROUND(SUMPRODUCT(_xlfn._xlws.FILTER(_xlfn._xlws.FILTER(Courses!$B$2:$E$46, IF(NOT(ISERROR(SEARCH(LEFT(A5,FIND(" ",A5)-1), Courses!$B$2:$B$46, 1))), TRUE, FALSE)), {0,0,1,0}), _xlfn._xlws.FILTER(_xlfn._xlws.FILTER(Courses!$B$2:$E$46, IF(NOT(ISERROR(SEARCH(LEFT(A5,FIND(" ",A5)-1), Courses!$B$2:$B$46, 1))), TRUE, FALSE)), {0,0,0,1}))/SUM(_xlfn._xlws.FILTER(_xlfn._xlws.FILTER(Courses!$B$2:$E$46, IF(NOT(ISERROR(SEARCH(LEFT(A5,FIND(" ",A5)-1), Courses!$B$2:$B$46, 1))), TRUE, FALSE)), {0,0,0,1})), 0.5)</f>
        <v>0</v>
      </c>
      <c r="C5" s="1" cm="1">
        <f t="array" ref="C5">SUM(_xlfn._xlws.FILTER(_xlfn._xlws.FILTER(Courses!$B$2:$E$46, IF(NOT(ISERROR(SEARCH(LEFT(A5,FIND(" ",A5)-1), Courses!$B$2:$B$46, 1))), TRUE, FALSE)), {0,0,0,1}))</f>
        <v>1</v>
      </c>
      <c r="D5" s="48" t="str" cm="1">
        <f t="array" ref="D5">_xlfn.XLOOKUP(1, --ISNUMBER(SEARCH(LEFT(A5,FIND(" ",A5)-1), Courses!$B$2:$B$46)), Courses!$O$2:$O$46, "no match")</f>
        <v>Minor</v>
      </c>
      <c r="E5" s="1" t="b" cm="1">
        <f t="array" ref="E5">AND(AND(_xlfn._xlws.FILTER(_xlfn._xlws.FILTER(Courses!$B$2:$P$46,IF(NOT(ISERROR(SEARCH(LEFT(A5,FIND(" ",A5)-1),Courses!$B$2:$B$46,1))),TRUE,FALSE)),{0,0,0,0,0,0,0,0,0,0,0,0,0,0,1})), B5&gt;5.99)</f>
        <v>0</v>
      </c>
      <c r="F5" s="1" cm="1">
        <f t="array" ref="F5">MROUND(SUMPRODUCT(
_xlfn._xlws.FILTER(_xlfn._xlws.FILTER(Courses!$B$2:$O$46, IF(NOT(ISERROR(SEARCH(LEFT(A5,FIND(" ",A5)-1), Courses!$B$2:$B$46, 1))), TRUE, FALSE)), {0,0,0,0,0,0,0,1,0,0,0,0,0,0}),
_xlfn._xlws.FILTER(_xlfn._xlws.FILTER(Courses!$B$2:$O$46, IF(NOT(ISERROR(SEARCH(LEFT(A5,FIND(" ",A5)-1), Courses!$B$2:$B$46, 1))), TRUE, FALSE)), {0,0,0,1,0,0,0,0,0,0,0,0,0,0}))
/SUM(_xlfn._xlws.FILTER(_xlfn._xlws.FILTER(Courses!$B$2:$O$46, IF(NOT(ISERROR(SEARCH(LEFT(A5,FIND(" ",A5)-1), Courses!$B$2:$B$46, 1))), TRUE, FALSE)), {0,0,0,1,0,0,0,0,0,0,0,0,0,0})), 0.5)</f>
        <v>9</v>
      </c>
      <c r="G5" s="1">
        <f t="shared" si="0"/>
        <v>4.9723756906077346E-2</v>
      </c>
      <c r="H5" s="1" cm="1">
        <f t="array" ref="H5">MROUND(SUMPRODUCT(
_xlfn._xlws.FILTER(_xlfn._xlws.FILTER(Courses!$B$2:$O$46, IF(NOT(ISERROR(SEARCH(LEFT(A5,FIND(" ",A5)-1), Courses!$B$2:$B$46, 1))), TRUE, FALSE)), {0,0,0,0,0,0,0,0,0,0,1,0,0,0}),
_xlfn._xlws.FILTER(_xlfn._xlws.FILTER(Courses!$B$2:$O$46, IF(NOT(ISERROR(SEARCH(LEFT(A5,FIND(" ",A5)-1), Courses!$B$2:$B$46, 1))), TRUE, FALSE)), {0,0,0,1,0,0,0,0,0,0,0,0,0,0}))
/SUM(_xlfn._xlws.FILTER(_xlfn._xlws.FILTER(Courses!$B$2:$O$46, IF(NOT(ISERROR(SEARCH(LEFT(A5,FIND(" ",A5)-1), Courses!$B$2:$B$46, 1))), TRUE, FALSE)), {0,0,0,1,0,0,0,0,0,0,0,0,0,0})), 0.5)</f>
        <v>7</v>
      </c>
      <c r="I5" s="1">
        <f t="shared" si="1"/>
        <v>3.8674033149171269E-2</v>
      </c>
    </row>
    <row r="6" spans="1:13" x14ac:dyDescent="0.25">
      <c r="A6" s="1" t="s">
        <v>16</v>
      </c>
      <c r="B6" s="47" cm="1">
        <f t="array" ref="B6">MROUND(SUMPRODUCT(_xlfn._xlws.FILTER(_xlfn._xlws.FILTER(Courses!$B$2:$E$46, IF(NOT(ISERROR(SEARCH(LEFT(A6,FIND(" ",A6)-1), Courses!$B$2:$B$46, 1))), TRUE, FALSE)), {0,0,1,0}), _xlfn._xlws.FILTER(_xlfn._xlws.FILTER(Courses!$B$2:$E$46, IF(NOT(ISERROR(SEARCH(LEFT(A6,FIND(" ",A6)-1), Courses!$B$2:$B$46, 1))), TRUE, FALSE)), {0,0,0,1}))/SUM(_xlfn._xlws.FILTER(_xlfn._xlws.FILTER(Courses!$B$2:$E$46, IF(NOT(ISERROR(SEARCH(LEFT(A6,FIND(" ",A6)-1), Courses!$B$2:$B$46, 1))), TRUE, FALSE)), {0,0,0,1})), 0.5)</f>
        <v>0</v>
      </c>
      <c r="C6" s="1" cm="1">
        <f t="array" ref="C6">SUM(_xlfn._xlws.FILTER(_xlfn._xlws.FILTER(Courses!$B$2:$E$46, IF(NOT(ISERROR(SEARCH(LEFT(A6,FIND(" ",A6)-1), Courses!$B$2:$B$46, 1))), TRUE, FALSE)), {0,0,0,1}))</f>
        <v>5</v>
      </c>
      <c r="D6" s="48" t="str" cm="1">
        <f t="array" ref="D6">_xlfn.XLOOKUP(1, --ISNUMBER(SEARCH(LEFT(A6,FIND(" ",A6)-1), Courses!$B$2:$B$46)), Courses!$O$2:$O$46, "no match")</f>
        <v>Minor</v>
      </c>
      <c r="E6" s="1" t="b" cm="1">
        <f t="array" ref="E6">AND(AND(_xlfn._xlws.FILTER(_xlfn._xlws.FILTER(Courses!$B$2:$P$46,IF(NOT(ISERROR(SEARCH(LEFT(A6,FIND(" ",A6)-1),Courses!$B$2:$B$46,1))),TRUE,FALSE)),{0,0,0,0,0,0,0,0,0,0,0,0,0,0,1})), B6&gt;5.99)</f>
        <v>0</v>
      </c>
      <c r="F6" s="1" cm="1">
        <f t="array" ref="F6">MROUND(SUMPRODUCT(
_xlfn._xlws.FILTER(_xlfn._xlws.FILTER(Courses!$B$2:$O$46, IF(NOT(ISERROR(SEARCH(LEFT(A6,FIND(" ",A6)-1), Courses!$B$2:$B$46, 1))), TRUE, FALSE)), {0,0,0,0,0,0,0,1,0,0,0,0,0,0}),
_xlfn._xlws.FILTER(_xlfn._xlws.FILTER(Courses!$B$2:$O$46, IF(NOT(ISERROR(SEARCH(LEFT(A6,FIND(" ",A6)-1), Courses!$B$2:$B$46, 1))), TRUE, FALSE)), {0,0,0,1,0,0,0,0,0,0,0,0,0,0}))
/SUM(_xlfn._xlws.FILTER(_xlfn._xlws.FILTER(Courses!$B$2:$O$46, IF(NOT(ISERROR(SEARCH(LEFT(A6,FIND(" ",A6)-1), Courses!$B$2:$B$46, 1))), TRUE, FALSE)), {0,0,0,1,0,0,0,0,0,0,0,0,0,0})), 0.5)</f>
        <v>9</v>
      </c>
      <c r="G6" s="1">
        <f t="shared" si="0"/>
        <v>0.24861878453038674</v>
      </c>
      <c r="H6" s="1" cm="1">
        <f t="array" ref="H6">MROUND(SUMPRODUCT(
_xlfn._xlws.FILTER(_xlfn._xlws.FILTER(Courses!$B$2:$O$46, IF(NOT(ISERROR(SEARCH(LEFT(A6,FIND(" ",A6)-1), Courses!$B$2:$B$46, 1))), TRUE, FALSE)), {0,0,0,0,0,0,0,0,0,0,1,0,0,0}),
_xlfn._xlws.FILTER(_xlfn._xlws.FILTER(Courses!$B$2:$O$46, IF(NOT(ISERROR(SEARCH(LEFT(A6,FIND(" ",A6)-1), Courses!$B$2:$B$46, 1))), TRUE, FALSE)), {0,0,0,1,0,0,0,0,0,0,0,0,0,0}))
/SUM(_xlfn._xlws.FILTER(_xlfn._xlws.FILTER(Courses!$B$2:$O$46, IF(NOT(ISERROR(SEARCH(LEFT(A6,FIND(" ",A6)-1), Courses!$B$2:$B$46, 1))), TRUE, FALSE)), {0,0,0,1,0,0,0,0,0,0,0,0,0,0})), 0.5)</f>
        <v>7</v>
      </c>
      <c r="I6" s="1">
        <f t="shared" si="1"/>
        <v>0.19337016574585636</v>
      </c>
    </row>
    <row r="7" spans="1:13" x14ac:dyDescent="0.25">
      <c r="A7" s="1" t="s">
        <v>21</v>
      </c>
      <c r="B7" s="47" cm="1">
        <f t="array" ref="B7">MROUND(SUMPRODUCT(_xlfn._xlws.FILTER(_xlfn._xlws.FILTER(Courses!$B$2:$E$46, IF(NOT(ISERROR(SEARCH(LEFT(A7,FIND(" ",A7)-1), Courses!$B$2:$B$46, 1))), TRUE, FALSE)), {0,0,1,0}), _xlfn._xlws.FILTER(_xlfn._xlws.FILTER(Courses!$B$2:$E$46, IF(NOT(ISERROR(SEARCH(LEFT(A7,FIND(" ",A7)-1), Courses!$B$2:$B$46, 1))), TRUE, FALSE)), {0,0,0,1}))/SUM(_xlfn._xlws.FILTER(_xlfn._xlws.FILTER(Courses!$B$2:$E$46, IF(NOT(ISERROR(SEARCH(LEFT(A7,FIND(" ",A7)-1), Courses!$B$2:$B$46, 1))), TRUE, FALSE)), {0,0,0,1})), 0.5)</f>
        <v>0</v>
      </c>
      <c r="C7" s="1" cm="1">
        <f t="array" ref="C7">SUM(_xlfn._xlws.FILTER(_xlfn._xlws.FILTER(Courses!$B$2:$E$46, IF(NOT(ISERROR(SEARCH(LEFT(A7,FIND(" ",A7)-1), Courses!$B$2:$B$46, 1))), TRUE, FALSE)), {0,0,0,1}))</f>
        <v>3</v>
      </c>
      <c r="D7" s="48" t="str" cm="1">
        <f t="array" ref="D7">_xlfn.XLOOKUP(1, --ISNUMBER(SEARCH(LEFT(A7,FIND(" ",A7)-1), Courses!$B$2:$B$46)), Courses!$O$2:$O$46, "no match")</f>
        <v>Minor</v>
      </c>
      <c r="E7" s="1" t="b" cm="1">
        <f t="array" ref="E7">AND(AND(_xlfn._xlws.FILTER(_xlfn._xlws.FILTER(Courses!$B$2:$P$46,IF(NOT(ISERROR(SEARCH(LEFT(A7,FIND(" ",A7)-1),Courses!$B$2:$B$46,1))),TRUE,FALSE)),{0,0,0,0,0,0,0,0,0,0,0,0,0,0,1})), B7&gt;5.99)</f>
        <v>0</v>
      </c>
      <c r="F7" s="1" cm="1">
        <f t="array" ref="F7">MROUND(SUMPRODUCT(
_xlfn._xlws.FILTER(_xlfn._xlws.FILTER(Courses!$B$2:$O$46, IF(NOT(ISERROR(SEARCH(LEFT(A7,FIND(" ",A7)-1), Courses!$B$2:$B$46, 1))), TRUE, FALSE)), {0,0,0,0,0,0,0,1,0,0,0,0,0,0}),
_xlfn._xlws.FILTER(_xlfn._xlws.FILTER(Courses!$B$2:$O$46, IF(NOT(ISERROR(SEARCH(LEFT(A7,FIND(" ",A7)-1), Courses!$B$2:$B$46, 1))), TRUE, FALSE)), {0,0,0,1,0,0,0,0,0,0,0,0,0,0}))
/SUM(_xlfn._xlws.FILTER(_xlfn._xlws.FILTER(Courses!$B$2:$O$46, IF(NOT(ISERROR(SEARCH(LEFT(A7,FIND(" ",A7)-1), Courses!$B$2:$B$46, 1))), TRUE, FALSE)), {0,0,0,1,0,0,0,0,0,0,0,0,0,0})), 0.5)</f>
        <v>9</v>
      </c>
      <c r="G7" s="1">
        <f t="shared" si="0"/>
        <v>0.14917127071823205</v>
      </c>
      <c r="H7" s="1" cm="1">
        <f t="array" ref="H7">MROUND(SUMPRODUCT(
_xlfn._xlws.FILTER(_xlfn._xlws.FILTER(Courses!$B$2:$O$46, IF(NOT(ISERROR(SEARCH(LEFT(A7,FIND(" ",A7)-1), Courses!$B$2:$B$46, 1))), TRUE, FALSE)), {0,0,0,0,0,0,0,0,0,0,1,0,0,0}),
_xlfn._xlws.FILTER(_xlfn._xlws.FILTER(Courses!$B$2:$O$46, IF(NOT(ISERROR(SEARCH(LEFT(A7,FIND(" ",A7)-1), Courses!$B$2:$B$46, 1))), TRUE, FALSE)), {0,0,0,1,0,0,0,0,0,0,0,0,0,0}))
/SUM(_xlfn._xlws.FILTER(_xlfn._xlws.FILTER(Courses!$B$2:$O$46, IF(NOT(ISERROR(SEARCH(LEFT(A7,FIND(" ",A7)-1), Courses!$B$2:$B$46, 1))), TRUE, FALSE)), {0,0,0,1,0,0,0,0,0,0,0,0,0,0})), 0.5)</f>
        <v>7</v>
      </c>
      <c r="I7" s="1">
        <f t="shared" si="1"/>
        <v>0.11602209944751381</v>
      </c>
    </row>
    <row r="8" spans="1:13" x14ac:dyDescent="0.25">
      <c r="A8" s="50" t="s">
        <v>15</v>
      </c>
      <c r="B8" s="47" cm="1">
        <f t="array" ref="B8">MROUND(SUMPRODUCT(_xlfn._xlws.FILTER(_xlfn._xlws.FILTER(Courses!$B$2:$E$46, IF(NOT(ISERROR(SEARCH(LEFT(A8,FIND(" ",A8)-1), Courses!$B$2:$B$46, 1))), TRUE, FALSE)), {0,0,1,0}), _xlfn._xlws.FILTER(_xlfn._xlws.FILTER(Courses!$B$2:$E$46, IF(NOT(ISERROR(SEARCH(LEFT(A8,FIND(" ",A8)-1), Courses!$B$2:$B$46, 1))), TRUE, FALSE)), {0,0,0,1}))/SUM(_xlfn._xlws.FILTER(_xlfn._xlws.FILTER(Courses!$B$2:$E$46, IF(NOT(ISERROR(SEARCH(LEFT(A8,FIND(" ",A8)-1), Courses!$B$2:$B$46, 1))), TRUE, FALSE)), {0,0,0,1})), 0.5)</f>
        <v>0</v>
      </c>
      <c r="C8" s="1" cm="1">
        <f t="array" ref="C8">SUM(_xlfn._xlws.FILTER(_xlfn._xlws.FILTER(Courses!$B$2:$E$46, IF(NOT(ISERROR(SEARCH(LEFT(A8,FIND(" ",A8)-1), Courses!$B$2:$B$46, 1))), TRUE, FALSE)), {0,0,0,1}))</f>
        <v>6</v>
      </c>
      <c r="D8" s="51" cm="1">
        <f t="array" ref="D8">_xlfn.XLOOKUP(1, --ISNUMBER(SEARCH(LEFT(A8,FIND(" ",A8)-1), Courses!$B$2:$B$46)), Courses!$O$2:$O$46, "no match")</f>
        <v>3</v>
      </c>
      <c r="E8" s="1" t="b" cm="1">
        <f t="array" ref="E8">AND(AND(_xlfn._xlws.FILTER(_xlfn._xlws.FILTER(Courses!$B$2:$P$46,IF(NOT(ISERROR(SEARCH(LEFT(A8,FIND(" ",A8)-1),Courses!$B$2:$B$46,1))),TRUE,FALSE)),{0,0,0,0,0,0,0,0,0,0,0,0,0,0,1})), B8&gt;5.99)</f>
        <v>0</v>
      </c>
      <c r="F8" s="1" cm="1">
        <f t="array" ref="F8">MROUND(SUMPRODUCT(
_xlfn._xlws.FILTER(_xlfn._xlws.FILTER(Courses!$B$2:$O$46, IF(NOT(ISERROR(SEARCH(LEFT(A8,FIND(" ",A8)-1), Courses!$B$2:$B$46, 1))), TRUE, FALSE)), {0,0,0,0,0,0,0,1,0,0,0,0,0,0}),
_xlfn._xlws.FILTER(_xlfn._xlws.FILTER(Courses!$B$2:$O$46, IF(NOT(ISERROR(SEARCH(LEFT(A8,FIND(" ",A8)-1), Courses!$B$2:$B$46, 1))), TRUE, FALSE)), {0,0,0,1,0,0,0,0,0,0,0,0,0,0}))
/SUM(_xlfn._xlws.FILTER(_xlfn._xlws.FILTER(Courses!$B$2:$O$46, IF(NOT(ISERROR(SEARCH(LEFT(A8,FIND(" ",A8)-1), Courses!$B$2:$B$46, 1))), TRUE, FALSE)), {0,0,0,1,0,0,0,0,0,0,0,0,0,0})), 0.5)</f>
        <v>9</v>
      </c>
      <c r="G8" s="1">
        <f t="shared" si="0"/>
        <v>0.2983425414364641</v>
      </c>
      <c r="H8" s="1" cm="1">
        <f t="array" ref="H8">MROUND(SUMPRODUCT(
_xlfn._xlws.FILTER(_xlfn._xlws.FILTER(Courses!$B$2:$O$46, IF(NOT(ISERROR(SEARCH(LEFT(A8,FIND(" ",A8)-1), Courses!$B$2:$B$46, 1))), TRUE, FALSE)), {0,0,0,0,0,0,0,0,0,0,1,0,0,0}),
_xlfn._xlws.FILTER(_xlfn._xlws.FILTER(Courses!$B$2:$O$46, IF(NOT(ISERROR(SEARCH(LEFT(A8,FIND(" ",A8)-1), Courses!$B$2:$B$46, 1))), TRUE, FALSE)), {0,0,0,1,0,0,0,0,0,0,0,0,0,0}))
/SUM(_xlfn._xlws.FILTER(_xlfn._xlws.FILTER(Courses!$B$2:$O$46, IF(NOT(ISERROR(SEARCH(LEFT(A8,FIND(" ",A8)-1), Courses!$B$2:$B$46, 1))), TRUE, FALSE)), {0,0,0,1,0,0,0,0,0,0,0,0,0,0})), 0.5)</f>
        <v>7</v>
      </c>
      <c r="I8" s="1">
        <f t="shared" si="1"/>
        <v>0.23204419889502761</v>
      </c>
    </row>
    <row r="9" spans="1:13" x14ac:dyDescent="0.25">
      <c r="A9" s="1" t="s">
        <v>1</v>
      </c>
      <c r="B9" s="47" cm="1">
        <f t="array" ref="B9">MROUND(SUMPRODUCT(_xlfn._xlws.FILTER(_xlfn._xlws.FILTER(Courses!$B$2:$E$46, IF(NOT(ISERROR(SEARCH(LEFT(A9,FIND(" ",A9)-1), Courses!$B$2:$B$46, 1))), TRUE, FALSE)), {0,0,1,0}), _xlfn._xlws.FILTER(_xlfn._xlws.FILTER(Courses!$B$2:$E$46, IF(NOT(ISERROR(SEARCH(LEFT(A9,FIND(" ",A9)-1), Courses!$B$2:$B$46, 1))), TRUE, FALSE)), {0,0,0,1}))/SUM(_xlfn._xlws.FILTER(_xlfn._xlws.FILTER(Courses!$B$2:$E$46, IF(NOT(ISERROR(SEARCH(LEFT(A9,FIND(" ",A9)-1), Courses!$B$2:$B$46, 1))), TRUE, FALSE)), {0,0,0,1})), 0.5)</f>
        <v>0</v>
      </c>
      <c r="C9" s="1" cm="1">
        <f t="array" ref="C9">SUM(_xlfn._xlws.FILTER(_xlfn._xlws.FILTER(Courses!$B$2:$E$46, IF(NOT(ISERROR(SEARCH(LEFT(A9,FIND(" ",A9)-1), Courses!$B$2:$B$46, 1))), TRUE, FALSE)), {0,0,0,1}))</f>
        <v>15</v>
      </c>
      <c r="D9" s="51" cm="1">
        <f t="array" ref="D9">_xlfn.XLOOKUP(1, --ISNUMBER(SEARCH(LEFT(A9,FIND(" ",A9)-1), Courses!$B$2:$B$46)), Courses!$O$2:$O$46, "no match")</f>
        <v>3</v>
      </c>
      <c r="E9" s="1" t="b" cm="1">
        <f t="array" ref="E9">AND(AND(_xlfn._xlws.FILTER(_xlfn._xlws.FILTER(Courses!$B$2:$P$46,IF(NOT(ISERROR(SEARCH(LEFT(A9,FIND(" ",A9)-1),Courses!$B$2:$B$46,1))),TRUE,FALSE)),{0,0,0,0,0,0,0,0,0,0,0,0,0,0,1})), B9&gt;5.99)</f>
        <v>0</v>
      </c>
      <c r="F9" s="1" cm="1">
        <f t="array" ref="F9">MROUND(SUMPRODUCT(
_xlfn._xlws.FILTER(_xlfn._xlws.FILTER(Courses!$B$2:$O$46, IF(NOT(ISERROR(SEARCH(LEFT(A9,FIND(" ",A9)-1), Courses!$B$2:$B$46, 1))), TRUE, FALSE)), {0,0,0,0,0,0,0,1,0,0,0,0,0,0}),
_xlfn._xlws.FILTER(_xlfn._xlws.FILTER(Courses!$B$2:$O$46, IF(NOT(ISERROR(SEARCH(LEFT(A9,FIND(" ",A9)-1), Courses!$B$2:$B$46, 1))), TRUE, FALSE)), {0,0,0,1,0,0,0,0,0,0,0,0,0,0}))
/SUM(_xlfn._xlws.FILTER(_xlfn._xlws.FILTER(Courses!$B$2:$O$46, IF(NOT(ISERROR(SEARCH(LEFT(A9,FIND(" ",A9)-1), Courses!$B$2:$B$46, 1))), TRUE, FALSE)), {0,0,0,1,0,0,0,0,0,0,0,0,0,0})), 0.5)</f>
        <v>9</v>
      </c>
      <c r="G9" s="1">
        <f t="shared" si="0"/>
        <v>0.7458563535911602</v>
      </c>
      <c r="H9" s="1" cm="1">
        <f t="array" ref="H9">MROUND(SUMPRODUCT(
_xlfn._xlws.FILTER(_xlfn._xlws.FILTER(Courses!$B$2:$O$46, IF(NOT(ISERROR(SEARCH(LEFT(A9,FIND(" ",A9)-1), Courses!$B$2:$B$46, 1))), TRUE, FALSE)), {0,0,0,0,0,0,0,0,0,0,1,0,0,0}),
_xlfn._xlws.FILTER(_xlfn._xlws.FILTER(Courses!$B$2:$O$46, IF(NOT(ISERROR(SEARCH(LEFT(A9,FIND(" ",A9)-1), Courses!$B$2:$B$46, 1))), TRUE, FALSE)), {0,0,0,1,0,0,0,0,0,0,0,0,0,0}))
/SUM(_xlfn._xlws.FILTER(_xlfn._xlws.FILTER(Courses!$B$2:$O$46, IF(NOT(ISERROR(SEARCH(LEFT(A9,FIND(" ",A9)-1), Courses!$B$2:$B$46, 1))), TRUE, FALSE)), {0,0,0,1,0,0,0,0,0,0,0,0,0,0})), 0.5)</f>
        <v>7</v>
      </c>
      <c r="I9" s="1">
        <f t="shared" si="1"/>
        <v>0.58011049723756902</v>
      </c>
    </row>
    <row r="10" spans="1:13" x14ac:dyDescent="0.25">
      <c r="A10" s="50" t="s">
        <v>68</v>
      </c>
      <c r="B10" s="47" cm="1">
        <f t="array" ref="B10">MROUND(SUMPRODUCT(_xlfn._xlws.FILTER(_xlfn._xlws.FILTER(Courses!$B$2:$E$46, IF(NOT(ISERROR(SEARCH(LEFT(A10,FIND(" ",A10)-1), Courses!$B$2:$B$46, 1))), TRUE, FALSE)), {0,0,1,0}), _xlfn._xlws.FILTER(_xlfn._xlws.FILTER(Courses!$B$2:$E$46, IF(NOT(ISERROR(SEARCH(LEFT(A10,FIND(" ",A10)-1), Courses!$B$2:$B$46, 1))), TRUE, FALSE)), {0,0,0,1}))/SUM(_xlfn._xlws.FILTER(_xlfn._xlws.FILTER(Courses!$B$2:$E$46, IF(NOT(ISERROR(SEARCH(LEFT(A10,FIND(" ",A10)-1), Courses!$B$2:$B$46, 1))), TRUE, FALSE)), {0,0,0,1})), 0.5)</f>
        <v>0</v>
      </c>
      <c r="C10" s="1" cm="1">
        <f t="array" ref="C10">SUM(_xlfn._xlws.FILTER(_xlfn._xlws.FILTER(Courses!$B$2:$E$46, IF(NOT(ISERROR(SEARCH(LEFT(A10,FIND(" ",A10)-1), Courses!$B$2:$B$46, 1))), TRUE, FALSE)), {0,0,0,1}))</f>
        <v>9</v>
      </c>
      <c r="D10" s="51" cm="1">
        <f t="array" ref="D10">_xlfn.XLOOKUP(1, --ISNUMBER(SEARCH(LEFT(A10,FIND(" ",A10)-1), Courses!$B$2:$B$46)), Courses!$O$2:$O$46, "no match")</f>
        <v>3</v>
      </c>
      <c r="E10" s="1" t="b" cm="1">
        <f t="array" ref="E10">AND(AND(_xlfn._xlws.FILTER(_xlfn._xlws.FILTER(Courses!$B$2:$P$46,IF(NOT(ISERROR(SEARCH(LEFT(A10,FIND(" ",A10)-1),Courses!$B$2:$B$46,1))),TRUE,FALSE)),{0,0,0,0,0,0,0,0,0,0,0,0,0,0,1})), B10&gt;5.99)</f>
        <v>0</v>
      </c>
      <c r="F10" s="1" cm="1">
        <f t="array" ref="F10">MROUND(SUMPRODUCT(
_xlfn._xlws.FILTER(_xlfn._xlws.FILTER(Courses!$B$2:$O$46, IF(NOT(ISERROR(SEARCH(LEFT(A10,FIND(" ",A10)-1), Courses!$B$2:$B$46, 1))), TRUE, FALSE)), {0,0,0,0,0,0,0,1,0,0,0,0,0,0}),
_xlfn._xlws.FILTER(_xlfn._xlws.FILTER(Courses!$B$2:$O$46, IF(NOT(ISERROR(SEARCH(LEFT(A10,FIND(" ",A10)-1), Courses!$B$2:$B$46, 1))), TRUE, FALSE)), {0,0,0,1,0,0,0,0,0,0,0,0,0,0}))
/SUM(_xlfn._xlws.FILTER(_xlfn._xlws.FILTER(Courses!$B$2:$O$46, IF(NOT(ISERROR(SEARCH(LEFT(A10,FIND(" ",A10)-1), Courses!$B$2:$B$46, 1))), TRUE, FALSE)), {0,0,0,1,0,0,0,0,0,0,0,0,0,0})), 0.5)</f>
        <v>9</v>
      </c>
      <c r="G10" s="1">
        <f t="shared" si="0"/>
        <v>0.44751381215469616</v>
      </c>
      <c r="H10" s="1" cm="1">
        <f t="array" ref="H10">MROUND(SUMPRODUCT(
_xlfn._xlws.FILTER(_xlfn._xlws.FILTER(Courses!$B$2:$O$46, IF(NOT(ISERROR(SEARCH(LEFT(A10,FIND(" ",A10)-1), Courses!$B$2:$B$46, 1))), TRUE, FALSE)), {0,0,0,0,0,0,0,0,0,0,1,0,0,0}),
_xlfn._xlws.FILTER(_xlfn._xlws.FILTER(Courses!$B$2:$O$46, IF(NOT(ISERROR(SEARCH(LEFT(A10,FIND(" ",A10)-1), Courses!$B$2:$B$46, 1))), TRUE, FALSE)), {0,0,0,1,0,0,0,0,0,0,0,0,0,0}))
/SUM(_xlfn._xlws.FILTER(_xlfn._xlws.FILTER(Courses!$B$2:$O$46, IF(NOT(ISERROR(SEARCH(LEFT(A10,FIND(" ",A10)-1), Courses!$B$2:$B$46, 1))), TRUE, FALSE)), {0,0,0,1,0,0,0,0,0,0,0,0,0,0})), 0.5)</f>
        <v>7</v>
      </c>
      <c r="I10" s="1">
        <f t="shared" si="1"/>
        <v>0.34806629834254144</v>
      </c>
    </row>
    <row r="11" spans="1:13" x14ac:dyDescent="0.25">
      <c r="A11" s="50" t="s">
        <v>5</v>
      </c>
      <c r="B11" s="47" cm="1">
        <f t="array" ref="B11">MROUND(SUMPRODUCT(_xlfn._xlws.FILTER(_xlfn._xlws.FILTER(Courses!$B$2:$E$46, IF(NOT(ISERROR(SEARCH(LEFT(A11,FIND(" ",A11)-1), Courses!$B$2:$B$46, 1))), TRUE, FALSE)), {0,0,1,0}), _xlfn._xlws.FILTER(_xlfn._xlws.FILTER(Courses!$B$2:$E$46, IF(NOT(ISERROR(SEARCH(LEFT(A11,FIND(" ",A11)-1), Courses!$B$2:$B$46, 1))), TRUE, FALSE)), {0,0,0,1}))/SUM(_xlfn._xlws.FILTER(_xlfn._xlws.FILTER(Courses!$B$2:$E$46, IF(NOT(ISERROR(SEARCH(LEFT(A11,FIND(" ",A11)-1), Courses!$B$2:$B$46, 1))), TRUE, FALSE)), {0,0,0,1})), 0.5)</f>
        <v>0</v>
      </c>
      <c r="C11" s="1" cm="1">
        <f t="array" ref="C11">SUM(_xlfn._xlws.FILTER(_xlfn._xlws.FILTER(Courses!$B$2:$E$46, IF(NOT(ISERROR(SEARCH(LEFT(A11,FIND(" ",A11)-1), Courses!$B$2:$B$46, 1))), TRUE, FALSE)), {0,0,0,1}))</f>
        <v>8</v>
      </c>
      <c r="D11" s="51" cm="1">
        <f t="array" ref="D11">_xlfn.XLOOKUP(1, --ISNUMBER(SEARCH(LEFT(A11,FIND(" ",A11)-1), Courses!$B$2:$B$46)), Courses!$O$2:$O$46, "no match")</f>
        <v>2</v>
      </c>
      <c r="E11" s="1" t="b" cm="1">
        <f t="array" ref="E11">AND(AND(_xlfn._xlws.FILTER(_xlfn._xlws.FILTER(Courses!$B$2:$P$46,IF(NOT(ISERROR(SEARCH(LEFT(A11,FIND(" ",A11)-1),Courses!$B$2:$B$46,1))),TRUE,FALSE)),{0,0,0,0,0,0,0,0,0,0,0,0,0,0,1})), B11&gt;5.99)</f>
        <v>0</v>
      </c>
      <c r="F11" s="1" cm="1">
        <f t="array" ref="F11">MROUND(SUMPRODUCT(
_xlfn._xlws.FILTER(_xlfn._xlws.FILTER(Courses!$B$2:$O$46, IF(NOT(ISERROR(SEARCH(LEFT(A11,FIND(" ",A11)-1), Courses!$B$2:$B$46, 1))), TRUE, FALSE)), {0,0,0,0,0,0,0,1,0,0,0,0,0,0}),
_xlfn._xlws.FILTER(_xlfn._xlws.FILTER(Courses!$B$2:$O$46, IF(NOT(ISERROR(SEARCH(LEFT(A11,FIND(" ",A11)-1), Courses!$B$2:$B$46, 1))), TRUE, FALSE)), {0,0,0,1,0,0,0,0,0,0,0,0,0,0}))
/SUM(_xlfn._xlws.FILTER(_xlfn._xlws.FILTER(Courses!$B$2:$O$46, IF(NOT(ISERROR(SEARCH(LEFT(A11,FIND(" ",A11)-1), Courses!$B$2:$B$46, 1))), TRUE, FALSE)), {0,0,0,1,0,0,0,0,0,0,0,0,0,0})), 0.5)</f>
        <v>9</v>
      </c>
      <c r="G11" s="1">
        <f t="shared" si="0"/>
        <v>0.39779005524861877</v>
      </c>
      <c r="H11" s="1" cm="1">
        <f t="array" ref="H11">MROUND(SUMPRODUCT(
_xlfn._xlws.FILTER(_xlfn._xlws.FILTER(Courses!$B$2:$O$46, IF(NOT(ISERROR(SEARCH(LEFT(A11,FIND(" ",A11)-1), Courses!$B$2:$B$46, 1))), TRUE, FALSE)), {0,0,0,0,0,0,0,0,0,0,1,0,0,0}),
_xlfn._xlws.FILTER(_xlfn._xlws.FILTER(Courses!$B$2:$O$46, IF(NOT(ISERROR(SEARCH(LEFT(A11,FIND(" ",A11)-1), Courses!$B$2:$B$46, 1))), TRUE, FALSE)), {0,0,0,1,0,0,0,0,0,0,0,0,0,0}))
/SUM(_xlfn._xlws.FILTER(_xlfn._xlws.FILTER(Courses!$B$2:$O$46, IF(NOT(ISERROR(SEARCH(LEFT(A11,FIND(" ",A11)-1), Courses!$B$2:$B$46, 1))), TRUE, FALSE)), {0,0,0,1,0,0,0,0,0,0,0,0,0,0})), 0.5)</f>
        <v>7</v>
      </c>
      <c r="I11" s="1">
        <f t="shared" si="1"/>
        <v>0.30939226519337015</v>
      </c>
    </row>
    <row r="12" spans="1:13" x14ac:dyDescent="0.25">
      <c r="A12" s="50" t="s">
        <v>10</v>
      </c>
      <c r="B12" s="47" cm="1">
        <f t="array" ref="B12">MROUND(SUMPRODUCT(_xlfn._xlws.FILTER(_xlfn._xlws.FILTER(Courses!$B$2:$E$46, IF(NOT(ISERROR(SEARCH(LEFT(A12,FIND(" ",A12)-1), Courses!$B$2:$B$46, 1))), TRUE, FALSE)), {0,0,1,0}), _xlfn._xlws.FILTER(_xlfn._xlws.FILTER(Courses!$B$2:$E$46, IF(NOT(ISERROR(SEARCH(LEFT(A12,FIND(" ",A12)-1), Courses!$B$2:$B$46, 1))), TRUE, FALSE)), {0,0,0,1}))/SUM(_xlfn._xlws.FILTER(_xlfn._xlws.FILTER(Courses!$B$2:$E$46, IF(NOT(ISERROR(SEARCH(LEFT(A12,FIND(" ",A12)-1), Courses!$B$2:$B$46, 1))), TRUE, FALSE)), {0,0,0,1})), 0.5)</f>
        <v>0</v>
      </c>
      <c r="C12" s="1" cm="1">
        <f t="array" ref="C12">SUM(_xlfn._xlws.FILTER(_xlfn._xlws.FILTER(Courses!$B$2:$E$46, IF(NOT(ISERROR(SEARCH(LEFT(A12,FIND(" ",A12)-1), Courses!$B$2:$B$46, 1))), TRUE, FALSE)), {0,0,0,1}))</f>
        <v>7</v>
      </c>
      <c r="D12" s="51" cm="1">
        <f t="array" ref="D12">_xlfn.XLOOKUP(1, --ISNUMBER(SEARCH(LEFT(A12,FIND(" ",A12)-1), Courses!$B$2:$B$46)), Courses!$O$2:$O$46, "no match")</f>
        <v>2</v>
      </c>
      <c r="E12" s="1" t="b" cm="1">
        <f t="array" ref="E12">AND(AND(_xlfn._xlws.FILTER(_xlfn._xlws.FILTER(Courses!$B$2:$P$46,IF(NOT(ISERROR(SEARCH(LEFT(A12,FIND(" ",A12)-1),Courses!$B$2:$B$46,1))),TRUE,FALSE)),{0,0,0,0,0,0,0,0,0,0,0,0,0,0,1})), B12&gt;5.99)</f>
        <v>0</v>
      </c>
      <c r="F12" s="1" cm="1">
        <f t="array" ref="F12">MROUND(SUMPRODUCT(
_xlfn._xlws.FILTER(_xlfn._xlws.FILTER(Courses!$B$2:$O$46, IF(NOT(ISERROR(SEARCH(LEFT(A12,FIND(" ",A12)-1), Courses!$B$2:$B$46, 1))), TRUE, FALSE)), {0,0,0,0,0,0,0,1,0,0,0,0,0,0}),
_xlfn._xlws.FILTER(_xlfn._xlws.FILTER(Courses!$B$2:$O$46, IF(NOT(ISERROR(SEARCH(LEFT(A12,FIND(" ",A12)-1), Courses!$B$2:$B$46, 1))), TRUE, FALSE)), {0,0,0,1,0,0,0,0,0,0,0,0,0,0}))
/SUM(_xlfn._xlws.FILTER(_xlfn._xlws.FILTER(Courses!$B$2:$O$46, IF(NOT(ISERROR(SEARCH(LEFT(A12,FIND(" ",A12)-1), Courses!$B$2:$B$46, 1))), TRUE, FALSE)), {0,0,0,1,0,0,0,0,0,0,0,0,0,0})), 0.5)</f>
        <v>9</v>
      </c>
      <c r="G12" s="1">
        <f t="shared" si="0"/>
        <v>0.34806629834254144</v>
      </c>
      <c r="H12" s="1" cm="1">
        <f t="array" ref="H12">MROUND(SUMPRODUCT(
_xlfn._xlws.FILTER(_xlfn._xlws.FILTER(Courses!$B$2:$O$46, IF(NOT(ISERROR(SEARCH(LEFT(A12,FIND(" ",A12)-1), Courses!$B$2:$B$46, 1))), TRUE, FALSE)), {0,0,0,0,0,0,0,0,0,0,1,0,0,0}),
_xlfn._xlws.FILTER(_xlfn._xlws.FILTER(Courses!$B$2:$O$46, IF(NOT(ISERROR(SEARCH(LEFT(A12,FIND(" ",A12)-1), Courses!$B$2:$B$46, 1))), TRUE, FALSE)), {0,0,0,1,0,0,0,0,0,0,0,0,0,0}))
/SUM(_xlfn._xlws.FILTER(_xlfn._xlws.FILTER(Courses!$B$2:$O$46, IF(NOT(ISERROR(SEARCH(LEFT(A12,FIND(" ",A12)-1), Courses!$B$2:$B$46, 1))), TRUE, FALSE)), {0,0,0,1,0,0,0,0,0,0,0,0,0,0})), 0.5)</f>
        <v>7</v>
      </c>
      <c r="I12" s="1">
        <f t="shared" si="1"/>
        <v>0.27071823204419887</v>
      </c>
    </row>
    <row r="13" spans="1:13" x14ac:dyDescent="0.25">
      <c r="A13" s="50" t="s">
        <v>7</v>
      </c>
      <c r="B13" s="47" cm="1">
        <f t="array" ref="B13">MROUND(SUMPRODUCT(_xlfn._xlws.FILTER(_xlfn._xlws.FILTER(Courses!$B$2:$E$46, IF(NOT(ISERROR(SEARCH(LEFT(A13,FIND(" ",A13)-1), Courses!$B$2:$B$46, 1))), TRUE, FALSE)), {0,0,1,0}), _xlfn._xlws.FILTER(_xlfn._xlws.FILTER(Courses!$B$2:$E$46, IF(NOT(ISERROR(SEARCH(LEFT(A13,FIND(" ",A13)-1), Courses!$B$2:$B$46, 1))), TRUE, FALSE)), {0,0,0,1}))/SUM(_xlfn._xlws.FILTER(_xlfn._xlws.FILTER(Courses!$B$2:$E$46, IF(NOT(ISERROR(SEARCH(LEFT(A13,FIND(" ",A13)-1), Courses!$B$2:$B$46, 1))), TRUE, FALSE)), {0,0,0,1})), 0.5)</f>
        <v>0</v>
      </c>
      <c r="C13" s="1" cm="1">
        <f t="array" ref="C13">SUM(_xlfn._xlws.FILTER(_xlfn._xlws.FILTER(Courses!$B$2:$E$46, IF(NOT(ISERROR(SEARCH(LEFT(A13,FIND(" ",A13)-1), Courses!$B$2:$B$46, 1))), TRUE, FALSE)), {0,0,0,1}))</f>
        <v>8</v>
      </c>
      <c r="D13" s="51" cm="1">
        <f t="array" ref="D13">_xlfn.XLOOKUP(1, --ISNUMBER(SEARCH(LEFT(A13,FIND(" ",A13)-1), Courses!$B$2:$B$46)), Courses!$O$2:$O$46, "no match")</f>
        <v>2</v>
      </c>
      <c r="E13" s="1" t="b" cm="1">
        <f t="array" ref="E13">AND(AND(_xlfn._xlws.FILTER(_xlfn._xlws.FILTER(Courses!$B$2:$P$46,IF(NOT(ISERROR(SEARCH(LEFT(A13,FIND(" ",A13)-1),Courses!$B$2:$B$46,1))),TRUE,FALSE)),{0,0,0,0,0,0,0,0,0,0,0,0,0,0,1})), B13&gt;5.99)</f>
        <v>0</v>
      </c>
      <c r="F13" s="1" cm="1">
        <f t="array" ref="F13">MROUND(SUMPRODUCT(
_xlfn._xlws.FILTER(_xlfn._xlws.FILTER(Courses!$B$2:$O$46, IF(NOT(ISERROR(SEARCH(LEFT(A13,FIND(" ",A13)-1), Courses!$B$2:$B$46, 1))), TRUE, FALSE)), {0,0,0,0,0,0,0,1,0,0,0,0,0,0}),
_xlfn._xlws.FILTER(_xlfn._xlws.FILTER(Courses!$B$2:$O$46, IF(NOT(ISERROR(SEARCH(LEFT(A13,FIND(" ",A13)-1), Courses!$B$2:$B$46, 1))), TRUE, FALSE)), {0,0,0,1,0,0,0,0,0,0,0,0,0,0}))
/SUM(_xlfn._xlws.FILTER(_xlfn._xlws.FILTER(Courses!$B$2:$O$46, IF(NOT(ISERROR(SEARCH(LEFT(A13,FIND(" ",A13)-1), Courses!$B$2:$B$46, 1))), TRUE, FALSE)), {0,0,0,1,0,0,0,0,0,0,0,0,0,0})), 0.5)</f>
        <v>9</v>
      </c>
      <c r="G13" s="1">
        <f t="shared" si="0"/>
        <v>0.39779005524861877</v>
      </c>
      <c r="H13" s="1" cm="1">
        <f t="array" ref="H13">MROUND(SUMPRODUCT(
_xlfn._xlws.FILTER(_xlfn._xlws.FILTER(Courses!$B$2:$O$46, IF(NOT(ISERROR(SEARCH(LEFT(A13,FIND(" ",A13)-1), Courses!$B$2:$B$46, 1))), TRUE, FALSE)), {0,0,0,0,0,0,0,0,0,0,1,0,0,0}),
_xlfn._xlws.FILTER(_xlfn._xlws.FILTER(Courses!$B$2:$O$46, IF(NOT(ISERROR(SEARCH(LEFT(A13,FIND(" ",A13)-1), Courses!$B$2:$B$46, 1))), TRUE, FALSE)), {0,0,0,1,0,0,0,0,0,0,0,0,0,0}))
/SUM(_xlfn._xlws.FILTER(_xlfn._xlws.FILTER(Courses!$B$2:$O$46, IF(NOT(ISERROR(SEARCH(LEFT(A13,FIND(" ",A13)-1), Courses!$B$2:$B$46, 1))), TRUE, FALSE)), {0,0,0,1,0,0,0,0,0,0,0,0,0,0})), 0.5)</f>
        <v>7</v>
      </c>
      <c r="I13" s="1">
        <f t="shared" si="1"/>
        <v>0.30939226519337015</v>
      </c>
    </row>
    <row r="14" spans="1:13" x14ac:dyDescent="0.25">
      <c r="A14" s="50" t="s">
        <v>34</v>
      </c>
      <c r="B14" s="47" cm="1">
        <f t="array" ref="B14">MROUND(SUMPRODUCT(_xlfn._xlws.FILTER(_xlfn._xlws.FILTER(Courses!$B$2:$E$46, IF(NOT(ISERROR(SEARCH(LEFT(A14,FIND(" ",A14)-1), Courses!$B$2:$B$46, 1))), TRUE, FALSE)), {0,0,1,0}), _xlfn._xlws.FILTER(_xlfn._xlws.FILTER(Courses!$B$2:$E$46, IF(NOT(ISERROR(SEARCH(LEFT(A14,FIND(" ",A14)-1), Courses!$B$2:$B$46, 1))), TRUE, FALSE)), {0,0,0,1}))/SUM(_xlfn._xlws.FILTER(_xlfn._xlws.FILTER(Courses!$B$2:$E$46, IF(NOT(ISERROR(SEARCH(LEFT(A14,FIND(" ",A14)-1), Courses!$B$2:$B$46, 1))), TRUE, FALSE)), {0,0,0,1})), 0.5)</f>
        <v>0</v>
      </c>
      <c r="C14" s="1" cm="1">
        <f t="array" ref="C14">SUM(_xlfn._xlws.FILTER(_xlfn._xlws.FILTER(Courses!$B$2:$E$46, IF(NOT(ISERROR(SEARCH(LEFT(A14,FIND(" ",A14)-1), Courses!$B$2:$B$46, 1))), TRUE, FALSE)), {0,0,0,1}))</f>
        <v>8</v>
      </c>
      <c r="D14" s="51" cm="1">
        <f t="array" ref="D14">_xlfn.XLOOKUP(1, --ISNUMBER(SEARCH(LEFT(A14,FIND(" ",A14)-1), Courses!$B$2:$B$46)), Courses!$O$2:$O$46, "no match")</f>
        <v>2</v>
      </c>
      <c r="E14" s="1" t="b" cm="1">
        <f t="array" ref="E14">AND(AND(_xlfn._xlws.FILTER(_xlfn._xlws.FILTER(Courses!$B$2:$P$46,IF(NOT(ISERROR(SEARCH(LEFT(A14,FIND(" ",A14)-1),Courses!$B$2:$B$46,1))),TRUE,FALSE)),{0,0,0,0,0,0,0,0,0,0,0,0,0,0,1})), B14&gt;5.99)</f>
        <v>0</v>
      </c>
      <c r="F14" s="1" cm="1">
        <f t="array" ref="F14">MROUND(SUMPRODUCT(
_xlfn._xlws.FILTER(_xlfn._xlws.FILTER(Courses!$B$2:$O$46, IF(NOT(ISERROR(SEARCH(LEFT(A14,FIND(" ",A14)-1), Courses!$B$2:$B$46, 1))), TRUE, FALSE)), {0,0,0,0,0,0,0,1,0,0,0,0,0,0}),
_xlfn._xlws.FILTER(_xlfn._xlws.FILTER(Courses!$B$2:$O$46, IF(NOT(ISERROR(SEARCH(LEFT(A14,FIND(" ",A14)-1), Courses!$B$2:$B$46, 1))), TRUE, FALSE)), {0,0,0,1,0,0,0,0,0,0,0,0,0,0}))
/SUM(_xlfn._xlws.FILTER(_xlfn._xlws.FILTER(Courses!$B$2:$O$46, IF(NOT(ISERROR(SEARCH(LEFT(A14,FIND(" ",A14)-1), Courses!$B$2:$B$46, 1))), TRUE, FALSE)), {0,0,0,1,0,0,0,0,0,0,0,0,0,0})), 0.5)</f>
        <v>9</v>
      </c>
      <c r="G14" s="1">
        <f t="shared" si="0"/>
        <v>0.39779005524861877</v>
      </c>
      <c r="H14" s="1" cm="1">
        <f t="array" ref="H14">MROUND(SUMPRODUCT(
_xlfn._xlws.FILTER(_xlfn._xlws.FILTER(Courses!$B$2:$O$46, IF(NOT(ISERROR(SEARCH(LEFT(A14,FIND(" ",A14)-1), Courses!$B$2:$B$46, 1))), TRUE, FALSE)), {0,0,0,0,0,0,0,0,0,0,1,0,0,0}),
_xlfn._xlws.FILTER(_xlfn._xlws.FILTER(Courses!$B$2:$O$46, IF(NOT(ISERROR(SEARCH(LEFT(A14,FIND(" ",A14)-1), Courses!$B$2:$B$46, 1))), TRUE, FALSE)), {0,0,0,1,0,0,0,0,0,0,0,0,0,0}))
/SUM(_xlfn._xlws.FILTER(_xlfn._xlws.FILTER(Courses!$B$2:$O$46, IF(NOT(ISERROR(SEARCH(LEFT(A14,FIND(" ",A14)-1), Courses!$B$2:$B$46, 1))), TRUE, FALSE)), {0,0,0,1,0,0,0,0,0,0,0,0,0,0})), 0.5)</f>
        <v>7</v>
      </c>
      <c r="I14" s="1">
        <f t="shared" si="1"/>
        <v>0.30939226519337015</v>
      </c>
    </row>
    <row r="15" spans="1:13" x14ac:dyDescent="0.25">
      <c r="A15" s="50" t="s">
        <v>14</v>
      </c>
      <c r="B15" s="47" cm="1">
        <f t="array" ref="B15">MROUND(SUMPRODUCT(_xlfn._xlws.FILTER(_xlfn._xlws.FILTER(Courses!$B$2:$E$46, IF(NOT(ISERROR(SEARCH(LEFT(A15,FIND(" ",A15)-1), Courses!$B$2:$B$46, 1))), TRUE, FALSE)), {0,0,1,0}), _xlfn._xlws.FILTER(_xlfn._xlws.FILTER(Courses!$B$2:$E$46, IF(NOT(ISERROR(SEARCH(LEFT(A15,FIND(" ",A15)-1), Courses!$B$2:$B$46, 1))), TRUE, FALSE)), {0,0,0,1}))/SUM(_xlfn._xlws.FILTER(_xlfn._xlws.FILTER(Courses!$B$2:$E$46, IF(NOT(ISERROR(SEARCH(LEFT(A15,FIND(" ",A15)-1), Courses!$B$2:$B$46, 1))), TRUE, FALSE)), {0,0,0,1})), 0.5)</f>
        <v>0</v>
      </c>
      <c r="C15" s="1" cm="1">
        <f t="array" ref="C15">SUM(_xlfn._xlws.FILTER(_xlfn._xlws.FILTER(Courses!$B$2:$E$46, IF(NOT(ISERROR(SEARCH(LEFT(A15,FIND(" ",A15)-1), Courses!$B$2:$B$46, 1))), TRUE, FALSE)), {0,0,0,1}))</f>
        <v>6</v>
      </c>
      <c r="D15" s="51" cm="1">
        <f t="array" ref="D15">_xlfn.XLOOKUP(1, --ISNUMBER(SEARCH(LEFT(A15,FIND(" ",A15)-1), Courses!$B$2:$B$46)), Courses!$O$2:$O$46, "no match")</f>
        <v>2</v>
      </c>
      <c r="E15" s="1" t="b" cm="1">
        <f t="array" ref="E15">AND(AND(_xlfn._xlws.FILTER(_xlfn._xlws.FILTER(Courses!$B$2:$P$46,IF(NOT(ISERROR(SEARCH(LEFT(A15,FIND(" ",A15)-1),Courses!$B$2:$B$46,1))),TRUE,FALSE)),{0,0,0,0,0,0,0,0,0,0,0,0,0,0,1})), B15&gt;5.99)</f>
        <v>0</v>
      </c>
      <c r="F15" s="1" cm="1">
        <f t="array" ref="F15">MROUND(SUMPRODUCT(
_xlfn._xlws.FILTER(_xlfn._xlws.FILTER(Courses!$B$2:$O$46, IF(NOT(ISERROR(SEARCH(LEFT(A15,FIND(" ",A15)-1), Courses!$B$2:$B$46, 1))), TRUE, FALSE)), {0,0,0,0,0,0,0,1,0,0,0,0,0,0}),
_xlfn._xlws.FILTER(_xlfn._xlws.FILTER(Courses!$B$2:$O$46, IF(NOT(ISERROR(SEARCH(LEFT(A15,FIND(" ",A15)-1), Courses!$B$2:$B$46, 1))), TRUE, FALSE)), {0,0,0,1,0,0,0,0,0,0,0,0,0,0}))
/SUM(_xlfn._xlws.FILTER(_xlfn._xlws.FILTER(Courses!$B$2:$O$46, IF(NOT(ISERROR(SEARCH(LEFT(A15,FIND(" ",A15)-1), Courses!$B$2:$B$46, 1))), TRUE, FALSE)), {0,0,0,1,0,0,0,0,0,0,0,0,0,0})), 0.5)</f>
        <v>9</v>
      </c>
      <c r="G15" s="1">
        <f t="shared" si="0"/>
        <v>0.2983425414364641</v>
      </c>
      <c r="H15" s="1" cm="1">
        <f t="array" ref="H15">MROUND(SUMPRODUCT(
_xlfn._xlws.FILTER(_xlfn._xlws.FILTER(Courses!$B$2:$O$46, IF(NOT(ISERROR(SEARCH(LEFT(A15,FIND(" ",A15)-1), Courses!$B$2:$B$46, 1))), TRUE, FALSE)), {0,0,0,0,0,0,0,0,0,0,1,0,0,0}),
_xlfn._xlws.FILTER(_xlfn._xlws.FILTER(Courses!$B$2:$O$46, IF(NOT(ISERROR(SEARCH(LEFT(A15,FIND(" ",A15)-1), Courses!$B$2:$B$46, 1))), TRUE, FALSE)), {0,0,0,1,0,0,0,0,0,0,0,0,0,0}))
/SUM(_xlfn._xlws.FILTER(_xlfn._xlws.FILTER(Courses!$B$2:$O$46, IF(NOT(ISERROR(SEARCH(LEFT(A15,FIND(" ",A15)-1), Courses!$B$2:$B$46, 1))), TRUE, FALSE)), {0,0,0,1,0,0,0,0,0,0,0,0,0,0})), 0.5)</f>
        <v>7</v>
      </c>
      <c r="I15" s="1">
        <f t="shared" si="1"/>
        <v>0.23204419889502761</v>
      </c>
    </row>
    <row r="16" spans="1:13" x14ac:dyDescent="0.25">
      <c r="A16" s="50" t="s">
        <v>6</v>
      </c>
      <c r="B16" s="47" cm="1">
        <f t="array" ref="B16">MROUND(SUMPRODUCT(_xlfn._xlws.FILTER(_xlfn._xlws.FILTER(Courses!$B$2:$E$46, IF(NOT(ISERROR(SEARCH(LEFT(A16,FIND(" ",A16)-1), Courses!$B$2:$B$46, 1))), TRUE, FALSE)), {0,0,1,0}), _xlfn._xlws.FILTER(_xlfn._xlws.FILTER(Courses!$B$2:$E$46, IF(NOT(ISERROR(SEARCH(LEFT(A16,FIND(" ",A16)-1), Courses!$B$2:$B$46, 1))), TRUE, FALSE)), {0,0,0,1}))/SUM(_xlfn._xlws.FILTER(_xlfn._xlws.FILTER(Courses!$B$2:$E$46, IF(NOT(ISERROR(SEARCH(LEFT(A16,FIND(" ",A16)-1), Courses!$B$2:$B$46, 1))), TRUE, FALSE)), {0,0,0,1})), 0.5)</f>
        <v>0</v>
      </c>
      <c r="C16" s="1" cm="1">
        <f t="array" ref="C16">SUM(_xlfn._xlws.FILTER(_xlfn._xlws.FILTER(Courses!$B$2:$E$46, IF(NOT(ISERROR(SEARCH(LEFT(A16,FIND(" ",A16)-1), Courses!$B$2:$B$46, 1))), TRUE, FALSE)), {0,0,0,1}))</f>
        <v>8</v>
      </c>
      <c r="D16" s="51" cm="1">
        <f t="array" ref="D16">_xlfn.XLOOKUP(1, --ISNUMBER(SEARCH(LEFT(A16,FIND(" ",A16)-1), Courses!$B$2:$B$46)), Courses!$O$2:$O$46, "no match")</f>
        <v>2</v>
      </c>
      <c r="E16" s="1" t="b" cm="1">
        <f t="array" ref="E16">AND(AND(_xlfn._xlws.FILTER(_xlfn._xlws.FILTER(Courses!$B$2:$P$46,IF(NOT(ISERROR(SEARCH(LEFT(A16,FIND(" ",A16)-1),Courses!$B$2:$B$46,1))),TRUE,FALSE)),{0,0,0,0,0,0,0,0,0,0,0,0,0,0,1})), B16&gt;5.99)</f>
        <v>0</v>
      </c>
      <c r="F16" s="1" cm="1">
        <f t="array" ref="F16">MROUND(SUMPRODUCT(
_xlfn._xlws.FILTER(_xlfn._xlws.FILTER(Courses!$B$2:$O$46, IF(NOT(ISERROR(SEARCH(LEFT(A16,FIND(" ",A16)-1), Courses!$B$2:$B$46, 1))), TRUE, FALSE)), {0,0,0,0,0,0,0,1,0,0,0,0,0,0}),
_xlfn._xlws.FILTER(_xlfn._xlws.FILTER(Courses!$B$2:$O$46, IF(NOT(ISERROR(SEARCH(LEFT(A16,FIND(" ",A16)-1), Courses!$B$2:$B$46, 1))), TRUE, FALSE)), {0,0,0,1,0,0,0,0,0,0,0,0,0,0}))
/SUM(_xlfn._xlws.FILTER(_xlfn._xlws.FILTER(Courses!$B$2:$O$46, IF(NOT(ISERROR(SEARCH(LEFT(A16,FIND(" ",A16)-1), Courses!$B$2:$B$46, 1))), TRUE, FALSE)), {0,0,0,1,0,0,0,0,0,0,0,0,0,0})), 0.5)</f>
        <v>9</v>
      </c>
      <c r="G16" s="1">
        <f t="shared" si="0"/>
        <v>0.39779005524861877</v>
      </c>
      <c r="H16" s="1" cm="1">
        <f t="array" ref="H16">MROUND(SUMPRODUCT(
_xlfn._xlws.FILTER(_xlfn._xlws.FILTER(Courses!$B$2:$O$46, IF(NOT(ISERROR(SEARCH(LEFT(A16,FIND(" ",A16)-1), Courses!$B$2:$B$46, 1))), TRUE, FALSE)), {0,0,0,0,0,0,0,0,0,0,1,0,0,0}),
_xlfn._xlws.FILTER(_xlfn._xlws.FILTER(Courses!$B$2:$O$46, IF(NOT(ISERROR(SEARCH(LEFT(A16,FIND(" ",A16)-1), Courses!$B$2:$B$46, 1))), TRUE, FALSE)), {0,0,0,1,0,0,0,0,0,0,0,0,0,0}))
/SUM(_xlfn._xlws.FILTER(_xlfn._xlws.FILTER(Courses!$B$2:$O$46, IF(NOT(ISERROR(SEARCH(LEFT(A16,FIND(" ",A16)-1), Courses!$B$2:$B$46, 1))), TRUE, FALSE)), {0,0,0,1,0,0,0,0,0,0,0,0,0,0})), 0.5)</f>
        <v>7</v>
      </c>
      <c r="I16" s="1">
        <f t="shared" si="1"/>
        <v>0.30939226519337015</v>
      </c>
    </row>
    <row r="17" spans="1:9" x14ac:dyDescent="0.25">
      <c r="A17" s="50" t="s">
        <v>8</v>
      </c>
      <c r="B17" s="47" cm="1">
        <f t="array" ref="B17">MROUND(SUMPRODUCT(_xlfn._xlws.FILTER(_xlfn._xlws.FILTER(Courses!$B$2:$E$46, IF(NOT(ISERROR(SEARCH(LEFT(A17,FIND(" ",A17)-1), Courses!$B$2:$B$46, 1))), TRUE, FALSE)), {0,0,1,0}), _xlfn._xlws.FILTER(_xlfn._xlws.FILTER(Courses!$B$2:$E$46, IF(NOT(ISERROR(SEARCH(LEFT(A17,FIND(" ",A17)-1), Courses!$B$2:$B$46, 1))), TRUE, FALSE)), {0,0,0,1}))/SUM(_xlfn._xlws.FILTER(_xlfn._xlws.FILTER(Courses!$B$2:$E$46, IF(NOT(ISERROR(SEARCH(LEFT(A17,FIND(" ",A17)-1), Courses!$B$2:$B$46, 1))), TRUE, FALSE)), {0,0,0,1})), 0.5)</f>
        <v>0</v>
      </c>
      <c r="C17" s="1" cm="1">
        <f t="array" ref="C17">SUM(_xlfn._xlws.FILTER(_xlfn._xlws.FILTER(Courses!$B$2:$E$46, IF(NOT(ISERROR(SEARCH(LEFT(A17,FIND(" ",A17)-1), Courses!$B$2:$B$46, 1))), TRUE, FALSE)), {0,0,0,1}))</f>
        <v>7</v>
      </c>
      <c r="D17" s="51" cm="1">
        <f t="array" ref="D17">_xlfn.XLOOKUP(1, --ISNUMBER(SEARCH(LEFT(A17,FIND(" ",A17)-1), Courses!$B$2:$B$46)), Courses!$O$2:$O$46, "no match")</f>
        <v>2</v>
      </c>
      <c r="E17" s="1" t="b" cm="1">
        <f t="array" ref="E17">AND(AND(_xlfn._xlws.FILTER(_xlfn._xlws.FILTER(Courses!$B$2:$P$46,IF(NOT(ISERROR(SEARCH(LEFT(A17,FIND(" ",A17)-1),Courses!$B$2:$B$46,1))),TRUE,FALSE)),{0,0,0,0,0,0,0,0,0,0,0,0,0,0,1})), B17&gt;5.99)</f>
        <v>0</v>
      </c>
      <c r="F17" s="1" cm="1">
        <f t="array" ref="F17">MROUND(SUMPRODUCT(
_xlfn._xlws.FILTER(_xlfn._xlws.FILTER(Courses!$B$2:$O$46, IF(NOT(ISERROR(SEARCH(LEFT(A17,FIND(" ",A17)-1), Courses!$B$2:$B$46, 1))), TRUE, FALSE)), {0,0,0,0,0,0,0,1,0,0,0,0,0,0}),
_xlfn._xlws.FILTER(_xlfn._xlws.FILTER(Courses!$B$2:$O$46, IF(NOT(ISERROR(SEARCH(LEFT(A17,FIND(" ",A17)-1), Courses!$B$2:$B$46, 1))), TRUE, FALSE)), {0,0,0,1,0,0,0,0,0,0,0,0,0,0}))
/SUM(_xlfn._xlws.FILTER(_xlfn._xlws.FILTER(Courses!$B$2:$O$46, IF(NOT(ISERROR(SEARCH(LEFT(A17,FIND(" ",A17)-1), Courses!$B$2:$B$46, 1))), TRUE, FALSE)), {0,0,0,1,0,0,0,0,0,0,0,0,0,0})), 0.5)</f>
        <v>9</v>
      </c>
      <c r="G17" s="1">
        <f t="shared" si="0"/>
        <v>0.34806629834254144</v>
      </c>
      <c r="H17" s="1" cm="1">
        <f t="array" ref="H17">MROUND(SUMPRODUCT(
_xlfn._xlws.FILTER(_xlfn._xlws.FILTER(Courses!$B$2:$O$46, IF(NOT(ISERROR(SEARCH(LEFT(A17,FIND(" ",A17)-1), Courses!$B$2:$B$46, 1))), TRUE, FALSE)), {0,0,0,0,0,0,0,0,0,0,1,0,0,0}),
_xlfn._xlws.FILTER(_xlfn._xlws.FILTER(Courses!$B$2:$O$46, IF(NOT(ISERROR(SEARCH(LEFT(A17,FIND(" ",A17)-1), Courses!$B$2:$B$46, 1))), TRUE, FALSE)), {0,0,0,1,0,0,0,0,0,0,0,0,0,0}))
/SUM(_xlfn._xlws.FILTER(_xlfn._xlws.FILTER(Courses!$B$2:$O$46, IF(NOT(ISERROR(SEARCH(LEFT(A17,FIND(" ",A17)-1), Courses!$B$2:$B$46, 1))), TRUE, FALSE)), {0,0,0,1,0,0,0,0,0,0,0,0,0,0})), 0.5)</f>
        <v>7</v>
      </c>
      <c r="I17" s="1">
        <f t="shared" si="1"/>
        <v>0.27071823204419887</v>
      </c>
    </row>
    <row r="18" spans="1:9" x14ac:dyDescent="0.25">
      <c r="A18" s="50" t="s">
        <v>4</v>
      </c>
      <c r="B18" s="47" cm="1">
        <f t="array" ref="B18">MROUND(SUMPRODUCT(_xlfn._xlws.FILTER(_xlfn._xlws.FILTER(Courses!$B$2:$E$46, IF(NOT(ISERROR(SEARCH(LEFT(A18,FIND(" ",A18)-1), Courses!$B$2:$B$46, 1))), TRUE, FALSE)), {0,0,1,0}), _xlfn._xlws.FILTER(_xlfn._xlws.FILTER(Courses!$B$2:$E$46, IF(NOT(ISERROR(SEARCH(LEFT(A18,FIND(" ",A18)-1), Courses!$B$2:$B$46, 1))), TRUE, FALSE)), {0,0,0,1}))/SUM(_xlfn._xlws.FILTER(_xlfn._xlws.FILTER(Courses!$B$2:$E$46, IF(NOT(ISERROR(SEARCH(LEFT(A18,FIND(" ",A18)-1), Courses!$B$2:$B$46, 1))), TRUE, FALSE)), {0,0,0,1})), 0.5)</f>
        <v>0</v>
      </c>
      <c r="C18" s="1" cm="1">
        <f t="array" ref="C18">SUM(_xlfn._xlws.FILTER(_xlfn._xlws.FILTER(Courses!$B$2:$E$46, IF(NOT(ISERROR(SEARCH(LEFT(A18,FIND(" ",A18)-1), Courses!$B$2:$B$46, 1))), TRUE, FALSE)), {0,0,0,1}))</f>
        <v>8</v>
      </c>
      <c r="D18" s="51" cm="1">
        <f t="array" ref="D18">_xlfn.XLOOKUP(1, --ISNUMBER(SEARCH(LEFT(A18,FIND(" ",A18)-1), Courses!$B$2:$B$46)), Courses!$O$2:$O$46, "no match")</f>
        <v>2</v>
      </c>
      <c r="E18" s="1" t="b" cm="1">
        <f t="array" ref="E18">AND(AND(_xlfn._xlws.FILTER(_xlfn._xlws.FILTER(Courses!$B$2:$P$46,IF(NOT(ISERROR(SEARCH(LEFT(A18,FIND(" ",A18)-1),Courses!$B$2:$B$46,1))),TRUE,FALSE)),{0,0,0,0,0,0,0,0,0,0,0,0,0,0,1})), B18&gt;5.99)</f>
        <v>0</v>
      </c>
      <c r="F18" s="1" cm="1">
        <f t="array" ref="F18">MROUND(SUMPRODUCT(
_xlfn._xlws.FILTER(_xlfn._xlws.FILTER(Courses!$B$2:$O$46, IF(NOT(ISERROR(SEARCH(LEFT(A18,FIND(" ",A18)-1), Courses!$B$2:$B$46, 1))), TRUE, FALSE)), {0,0,0,0,0,0,0,1,0,0,0,0,0,0}),
_xlfn._xlws.FILTER(_xlfn._xlws.FILTER(Courses!$B$2:$O$46, IF(NOT(ISERROR(SEARCH(LEFT(A18,FIND(" ",A18)-1), Courses!$B$2:$B$46, 1))), TRUE, FALSE)), {0,0,0,1,0,0,0,0,0,0,0,0,0,0}))
/SUM(_xlfn._xlws.FILTER(_xlfn._xlws.FILTER(Courses!$B$2:$O$46, IF(NOT(ISERROR(SEARCH(LEFT(A18,FIND(" ",A18)-1), Courses!$B$2:$B$46, 1))), TRUE, FALSE)), {0,0,0,1,0,0,0,0,0,0,0,0,0,0})), 0.5)</f>
        <v>9</v>
      </c>
      <c r="G18" s="1">
        <f t="shared" si="0"/>
        <v>0.39779005524861877</v>
      </c>
      <c r="H18" s="1" cm="1">
        <f t="array" ref="H18">MROUND(SUMPRODUCT(
_xlfn._xlws.FILTER(_xlfn._xlws.FILTER(Courses!$B$2:$O$46, IF(NOT(ISERROR(SEARCH(LEFT(A18,FIND(" ",A18)-1), Courses!$B$2:$B$46, 1))), TRUE, FALSE)), {0,0,0,0,0,0,0,0,0,0,1,0,0,0}),
_xlfn._xlws.FILTER(_xlfn._xlws.FILTER(Courses!$B$2:$O$46, IF(NOT(ISERROR(SEARCH(LEFT(A18,FIND(" ",A18)-1), Courses!$B$2:$B$46, 1))), TRUE, FALSE)), {0,0,0,1,0,0,0,0,0,0,0,0,0,0}))
/SUM(_xlfn._xlws.FILTER(_xlfn._xlws.FILTER(Courses!$B$2:$O$46, IF(NOT(ISERROR(SEARCH(LEFT(A18,FIND(" ",A18)-1), Courses!$B$2:$B$46, 1))), TRUE, FALSE)), {0,0,0,1,0,0,0,0,0,0,0,0,0,0})), 0.5)</f>
        <v>7</v>
      </c>
      <c r="I18" s="1">
        <f t="shared" si="1"/>
        <v>0.30939226519337015</v>
      </c>
    </row>
    <row r="19" spans="1:9" x14ac:dyDescent="0.25">
      <c r="A19" s="50" t="s">
        <v>12</v>
      </c>
      <c r="B19" s="47" cm="1">
        <f t="array" ref="B19">MROUND(SUMPRODUCT(_xlfn._xlws.FILTER(_xlfn._xlws.FILTER(Courses!$B$2:$E$46, IF(NOT(ISERROR(SEARCH(LEFT(A19,FIND(" ",A19)-1), Courses!$B$2:$B$46, 1))), TRUE, FALSE)), {0,0,1,0}), _xlfn._xlws.FILTER(_xlfn._xlws.FILTER(Courses!$B$2:$E$46, IF(NOT(ISERROR(SEARCH(LEFT(A19,FIND(" ",A19)-1), Courses!$B$2:$B$46, 1))), TRUE, FALSE)), {0,0,0,1}))/SUM(_xlfn._xlws.FILTER(_xlfn._xlws.FILTER(Courses!$B$2:$E$46, IF(NOT(ISERROR(SEARCH(LEFT(A19,FIND(" ",A19)-1), Courses!$B$2:$B$46, 1))), TRUE, FALSE)), {0,0,0,1})), 0.5)</f>
        <v>0</v>
      </c>
      <c r="C19" s="1" cm="1">
        <f t="array" ref="C19">SUM(_xlfn._xlws.FILTER(_xlfn._xlws.FILTER(Courses!$B$2:$E$46, IF(NOT(ISERROR(SEARCH(LEFT(A19,FIND(" ",A19)-1), Courses!$B$2:$B$46, 1))), TRUE, FALSE)), {0,0,0,1}))</f>
        <v>6</v>
      </c>
      <c r="D19" s="51" cm="1">
        <f t="array" ref="D19">_xlfn.XLOOKUP(1, --ISNUMBER(SEARCH(LEFT(A19,FIND(" ",A19)-1), Courses!$B$2:$B$46)), Courses!$O$2:$O$46, "no match")</f>
        <v>1</v>
      </c>
      <c r="E19" s="1" t="b" cm="1">
        <f t="array" ref="E19">AND(AND(_xlfn._xlws.FILTER(_xlfn._xlws.FILTER(Courses!$B$2:$P$46,IF(NOT(ISERROR(SEARCH(LEFT(A19,FIND(" ",A19)-1),Courses!$B$2:$B$46,1))),TRUE,FALSE)),{0,0,0,0,0,0,0,0,0,0,0,0,0,0,1})), B19&gt;5.99)</f>
        <v>0</v>
      </c>
      <c r="F19" s="1" cm="1">
        <f t="array" ref="F19">MROUND(SUMPRODUCT(
_xlfn._xlws.FILTER(_xlfn._xlws.FILTER(Courses!$B$2:$O$46, IF(NOT(ISERROR(SEARCH(LEFT(A19,FIND(" ",A19)-1), Courses!$B$2:$B$46, 1))), TRUE, FALSE)), {0,0,0,0,0,0,0,1,0,0,0,0,0,0}),
_xlfn._xlws.FILTER(_xlfn._xlws.FILTER(Courses!$B$2:$O$46, IF(NOT(ISERROR(SEARCH(LEFT(A19,FIND(" ",A19)-1), Courses!$B$2:$B$46, 1))), TRUE, FALSE)), {0,0,0,1,0,0,0,0,0,0,0,0,0,0}))
/SUM(_xlfn._xlws.FILTER(_xlfn._xlws.FILTER(Courses!$B$2:$O$46, IF(NOT(ISERROR(SEARCH(LEFT(A19,FIND(" ",A19)-1), Courses!$B$2:$B$46, 1))), TRUE, FALSE)), {0,0,0,1,0,0,0,0,0,0,0,0,0,0})), 0.5)</f>
        <v>9</v>
      </c>
      <c r="G19" s="1">
        <f t="shared" si="0"/>
        <v>0.2983425414364641</v>
      </c>
      <c r="H19" s="1" cm="1">
        <f t="array" ref="H19">MROUND(SUMPRODUCT(
_xlfn._xlws.FILTER(_xlfn._xlws.FILTER(Courses!$B$2:$O$46, IF(NOT(ISERROR(SEARCH(LEFT(A19,FIND(" ",A19)-1), Courses!$B$2:$B$46, 1))), TRUE, FALSE)), {0,0,0,0,0,0,0,0,0,0,1,0,0,0}),
_xlfn._xlws.FILTER(_xlfn._xlws.FILTER(Courses!$B$2:$O$46, IF(NOT(ISERROR(SEARCH(LEFT(A19,FIND(" ",A19)-1), Courses!$B$2:$B$46, 1))), TRUE, FALSE)), {0,0,0,1,0,0,0,0,0,0,0,0,0,0}))
/SUM(_xlfn._xlws.FILTER(_xlfn._xlws.FILTER(Courses!$B$2:$O$46, IF(NOT(ISERROR(SEARCH(LEFT(A19,FIND(" ",A19)-1), Courses!$B$2:$B$46, 1))), TRUE, FALSE)), {0,0,0,1,0,0,0,0,0,0,0,0,0,0})), 0.5)</f>
        <v>7</v>
      </c>
      <c r="I19" s="1">
        <f t="shared" si="1"/>
        <v>0.23204419889502761</v>
      </c>
    </row>
    <row r="20" spans="1:9" x14ac:dyDescent="0.25">
      <c r="A20" s="1" t="s">
        <v>19</v>
      </c>
      <c r="B20" s="47" cm="1">
        <f t="array" ref="B20">MROUND(SUMPRODUCT(_xlfn._xlws.FILTER(_xlfn._xlws.FILTER(Courses!$B$2:$E$46, IF(NOT(ISERROR(SEARCH(LEFT(A20,FIND(" ",A20)-1), Courses!$B$2:$B$46, 1))), TRUE, FALSE)), {0,0,1,0}), _xlfn._xlws.FILTER(_xlfn._xlws.FILTER(Courses!$B$2:$E$46, IF(NOT(ISERROR(SEARCH(LEFT(A20,FIND(" ",A20)-1), Courses!$B$2:$B$46, 1))), TRUE, FALSE)), {0,0,0,1}))/SUM(_xlfn._xlws.FILTER(_xlfn._xlws.FILTER(Courses!$B$2:$E$46, IF(NOT(ISERROR(SEARCH(LEFT(A20,FIND(" ",A20)-1), Courses!$B$2:$B$46, 1))), TRUE, FALSE)), {0,0,0,1})), 0.5)</f>
        <v>0</v>
      </c>
      <c r="C20" s="1" cm="1">
        <f t="array" ref="C20">SUM(_xlfn._xlws.FILTER(_xlfn._xlws.FILTER(Courses!$B$2:$E$46, IF(NOT(ISERROR(SEARCH(LEFT(A20,FIND(" ",A20)-1), Courses!$B$2:$B$46, 1))), TRUE, FALSE)), {0,0,0,1}))</f>
        <v>5</v>
      </c>
      <c r="D20" s="51" cm="1">
        <f t="array" ref="D20">_xlfn.XLOOKUP(1, --ISNUMBER(SEARCH(LEFT(A20,FIND(" ",A20)-1), Courses!$B$2:$B$46)), Courses!$O$2:$O$46, "no match")</f>
        <v>1</v>
      </c>
      <c r="E20" s="1" t="b" cm="1">
        <f t="array" ref="E20">AND(AND(_xlfn._xlws.FILTER(_xlfn._xlws.FILTER(Courses!$B$2:$P$46,IF(NOT(ISERROR(SEARCH(LEFT(A20,FIND(" ",A20)-1),Courses!$B$2:$B$46,1))),TRUE,FALSE)),{0,0,0,0,0,0,0,0,0,0,0,0,0,0,1})), B20&gt;5.99)</f>
        <v>0</v>
      </c>
      <c r="F20" s="1" cm="1">
        <f t="array" ref="F20">MROUND(SUMPRODUCT(
_xlfn._xlws.FILTER(_xlfn._xlws.FILTER(Courses!$B$2:$O$46, IF(NOT(ISERROR(SEARCH(LEFT(A20,FIND(" ",A20)-1), Courses!$B$2:$B$46, 1))), TRUE, FALSE)), {0,0,0,0,0,0,0,1,0,0,0,0,0,0}),
_xlfn._xlws.FILTER(_xlfn._xlws.FILTER(Courses!$B$2:$O$46, IF(NOT(ISERROR(SEARCH(LEFT(A20,FIND(" ",A20)-1), Courses!$B$2:$B$46, 1))), TRUE, FALSE)), {0,0,0,1,0,0,0,0,0,0,0,0,0,0}))
/SUM(_xlfn._xlws.FILTER(_xlfn._xlws.FILTER(Courses!$B$2:$O$46, IF(NOT(ISERROR(SEARCH(LEFT(A20,FIND(" ",A20)-1), Courses!$B$2:$B$46, 1))), TRUE, FALSE)), {0,0,0,1,0,0,0,0,0,0,0,0,0,0})), 0.5)</f>
        <v>9</v>
      </c>
      <c r="G20" s="1">
        <f t="shared" si="0"/>
        <v>0.24861878453038674</v>
      </c>
      <c r="H20" s="1" cm="1">
        <f t="array" ref="H20">MROUND(SUMPRODUCT(
_xlfn._xlws.FILTER(_xlfn._xlws.FILTER(Courses!$B$2:$O$46, IF(NOT(ISERROR(SEARCH(LEFT(A20,FIND(" ",A20)-1), Courses!$B$2:$B$46, 1))), TRUE, FALSE)), {0,0,0,0,0,0,0,0,0,0,1,0,0,0}),
_xlfn._xlws.FILTER(_xlfn._xlws.FILTER(Courses!$B$2:$O$46, IF(NOT(ISERROR(SEARCH(LEFT(A20,FIND(" ",A20)-1), Courses!$B$2:$B$46, 1))), TRUE, FALSE)), {0,0,0,1,0,0,0,0,0,0,0,0,0,0}))
/SUM(_xlfn._xlws.FILTER(_xlfn._xlws.FILTER(Courses!$B$2:$O$46, IF(NOT(ISERROR(SEARCH(LEFT(A20,FIND(" ",A20)-1), Courses!$B$2:$B$46, 1))), TRUE, FALSE)), {0,0,0,1,0,0,0,0,0,0,0,0,0,0})), 0.5)</f>
        <v>7</v>
      </c>
      <c r="I20" s="1">
        <f t="shared" si="1"/>
        <v>0.19337016574585636</v>
      </c>
    </row>
    <row r="21" spans="1:9" x14ac:dyDescent="0.25">
      <c r="A21" s="50" t="s">
        <v>11</v>
      </c>
      <c r="B21" s="47" cm="1">
        <f t="array" ref="B21">MROUND(SUMPRODUCT(_xlfn._xlws.FILTER(_xlfn._xlws.FILTER(Courses!$B$2:$E$46, IF(NOT(ISERROR(SEARCH(LEFT(A21,FIND(" ",A21)-1), Courses!$B$2:$B$46, 1))), TRUE, FALSE)), {0,0,1,0}), _xlfn._xlws.FILTER(_xlfn._xlws.FILTER(Courses!$B$2:$E$46, IF(NOT(ISERROR(SEARCH(LEFT(A21,FIND(" ",A21)-1), Courses!$B$2:$B$46, 1))), TRUE, FALSE)), {0,0,0,1}))/SUM(_xlfn._xlws.FILTER(_xlfn._xlws.FILTER(Courses!$B$2:$E$46, IF(NOT(ISERROR(SEARCH(LEFT(A21,FIND(" ",A21)-1), Courses!$B$2:$B$46, 1))), TRUE, FALSE)), {0,0,0,1})), 0.5)</f>
        <v>0</v>
      </c>
      <c r="C21" s="1" cm="1">
        <f t="array" ref="C21">SUM(_xlfn._xlws.FILTER(_xlfn._xlws.FILTER(Courses!$B$2:$E$46, IF(NOT(ISERROR(SEARCH(LEFT(A21,FIND(" ",A21)-1), Courses!$B$2:$B$46, 1))), TRUE, FALSE)), {0,0,0,1}))</f>
        <v>6</v>
      </c>
      <c r="D21" s="51" cm="1">
        <f t="array" ref="D21">_xlfn.XLOOKUP(1, --ISNUMBER(SEARCH(LEFT(A21,FIND(" ",A21)-1), Courses!$B$2:$B$46)), Courses!$O$2:$O$46, "no match")</f>
        <v>1</v>
      </c>
      <c r="E21" s="1" t="b" cm="1">
        <f t="array" ref="E21">AND(AND(_xlfn._xlws.FILTER(_xlfn._xlws.FILTER(Courses!$B$2:$P$46,IF(NOT(ISERROR(SEARCH(LEFT(A21,FIND(" ",A21)-1),Courses!$B$2:$B$46,1))),TRUE,FALSE)),{0,0,0,0,0,0,0,0,0,0,0,0,0,0,1})), B21&gt;5.99)</f>
        <v>0</v>
      </c>
      <c r="F21" s="1" cm="1">
        <f t="array" ref="F21">MROUND(SUMPRODUCT(
_xlfn._xlws.FILTER(_xlfn._xlws.FILTER(Courses!$B$2:$O$46, IF(NOT(ISERROR(SEARCH(LEFT(A21,FIND(" ",A21)-1), Courses!$B$2:$B$46, 1))), TRUE, FALSE)), {0,0,0,0,0,0,0,1,0,0,0,0,0,0}),
_xlfn._xlws.FILTER(_xlfn._xlws.FILTER(Courses!$B$2:$O$46, IF(NOT(ISERROR(SEARCH(LEFT(A21,FIND(" ",A21)-1), Courses!$B$2:$B$46, 1))), TRUE, FALSE)), {0,0,0,1,0,0,0,0,0,0,0,0,0,0}))
/SUM(_xlfn._xlws.FILTER(_xlfn._xlws.FILTER(Courses!$B$2:$O$46, IF(NOT(ISERROR(SEARCH(LEFT(A21,FIND(" ",A21)-1), Courses!$B$2:$B$46, 1))), TRUE, FALSE)), {0,0,0,1,0,0,0,0,0,0,0,0,0,0})), 0.5)</f>
        <v>9</v>
      </c>
      <c r="G21" s="1">
        <f t="shared" si="0"/>
        <v>0.2983425414364641</v>
      </c>
      <c r="H21" s="1" cm="1">
        <f t="array" ref="H21">MROUND(SUMPRODUCT(
_xlfn._xlws.FILTER(_xlfn._xlws.FILTER(Courses!$B$2:$O$46, IF(NOT(ISERROR(SEARCH(LEFT(A21,FIND(" ",A21)-1), Courses!$B$2:$B$46, 1))), TRUE, FALSE)), {0,0,0,0,0,0,0,0,0,0,1,0,0,0}),
_xlfn._xlws.FILTER(_xlfn._xlws.FILTER(Courses!$B$2:$O$46, IF(NOT(ISERROR(SEARCH(LEFT(A21,FIND(" ",A21)-1), Courses!$B$2:$B$46, 1))), TRUE, FALSE)), {0,0,0,1,0,0,0,0,0,0,0,0,0,0}))
/SUM(_xlfn._xlws.FILTER(_xlfn._xlws.FILTER(Courses!$B$2:$O$46, IF(NOT(ISERROR(SEARCH(LEFT(A21,FIND(" ",A21)-1), Courses!$B$2:$B$46, 1))), TRUE, FALSE)), {0,0,0,1,0,0,0,0,0,0,0,0,0,0})), 0.5)</f>
        <v>7</v>
      </c>
      <c r="I21" s="1">
        <f t="shared" si="1"/>
        <v>0.23204419889502761</v>
      </c>
    </row>
    <row r="22" spans="1:9" x14ac:dyDescent="0.25">
      <c r="A22" s="1" t="s">
        <v>18</v>
      </c>
      <c r="B22" s="47" cm="1">
        <f t="array" ref="B22">MROUND(SUMPRODUCT(_xlfn._xlws.FILTER(_xlfn._xlws.FILTER(Courses!$B$2:$E$46, IF(NOT(ISERROR(SEARCH(LEFT(A22,FIND(" ",A22)-1), Courses!$B$2:$B$46, 1))), TRUE, FALSE)), {0,0,1,0}), _xlfn._xlws.FILTER(_xlfn._xlws.FILTER(Courses!$B$2:$E$46, IF(NOT(ISERROR(SEARCH(LEFT(A22,FIND(" ",A22)-1), Courses!$B$2:$B$46, 1))), TRUE, FALSE)), {0,0,0,1}))/SUM(_xlfn._xlws.FILTER(_xlfn._xlws.FILTER(Courses!$B$2:$E$46, IF(NOT(ISERROR(SEARCH(LEFT(A22,FIND(" ",A22)-1), Courses!$B$2:$B$46, 1))), TRUE, FALSE)), {0,0,0,1})), 0.5)</f>
        <v>0</v>
      </c>
      <c r="C22" s="1" cm="1">
        <f t="array" ref="C22">SUM(_xlfn._xlws.FILTER(_xlfn._xlws.FILTER(Courses!$B$2:$E$46, IF(NOT(ISERROR(SEARCH(LEFT(A22,FIND(" ",A22)-1), Courses!$B$2:$B$46, 1))), TRUE, FALSE)), {0,0,0,1}))</f>
        <v>6</v>
      </c>
      <c r="D22" s="51" cm="1">
        <f t="array" ref="D22">_xlfn.XLOOKUP(1, --ISNUMBER(SEARCH(LEFT(A22,FIND(" ",A22)-1), Courses!$B$2:$B$46)), Courses!$O$2:$O$46, "no match")</f>
        <v>1</v>
      </c>
      <c r="E22" s="1" t="b" cm="1">
        <f t="array" ref="E22">AND(AND(_xlfn._xlws.FILTER(_xlfn._xlws.FILTER(Courses!$B$2:$P$46,IF(NOT(ISERROR(SEARCH(LEFT(A22,FIND(" ",A22)-1),Courses!$B$2:$B$46,1))),TRUE,FALSE)),{0,0,0,0,0,0,0,0,0,0,0,0,0,0,1})), B22&gt;5.99)</f>
        <v>0</v>
      </c>
      <c r="F22" s="1" cm="1">
        <f t="array" ref="F22">MROUND(SUMPRODUCT(
_xlfn._xlws.FILTER(_xlfn._xlws.FILTER(Courses!$B$2:$O$46, IF(NOT(ISERROR(SEARCH(LEFT(A22,FIND(" ",A22)-1), Courses!$B$2:$B$46, 1))), TRUE, FALSE)), {0,0,0,0,0,0,0,1,0,0,0,0,0,0}),
_xlfn._xlws.FILTER(_xlfn._xlws.FILTER(Courses!$B$2:$O$46, IF(NOT(ISERROR(SEARCH(LEFT(A22,FIND(" ",A22)-1), Courses!$B$2:$B$46, 1))), TRUE, FALSE)), {0,0,0,1,0,0,0,0,0,0,0,0,0,0}))
/SUM(_xlfn._xlws.FILTER(_xlfn._xlws.FILTER(Courses!$B$2:$O$46, IF(NOT(ISERROR(SEARCH(LEFT(A22,FIND(" ",A22)-1), Courses!$B$2:$B$46, 1))), TRUE, FALSE)), {0,0,0,1,0,0,0,0,0,0,0,0,0,0})), 0.5)</f>
        <v>9</v>
      </c>
      <c r="G22" s="1">
        <f t="shared" si="0"/>
        <v>0.2983425414364641</v>
      </c>
      <c r="H22" s="1" cm="1">
        <f t="array" ref="H22">MROUND(SUMPRODUCT(
_xlfn._xlws.FILTER(_xlfn._xlws.FILTER(Courses!$B$2:$O$46, IF(NOT(ISERROR(SEARCH(LEFT(A22,FIND(" ",A22)-1), Courses!$B$2:$B$46, 1))), TRUE, FALSE)), {0,0,0,0,0,0,0,0,0,0,1,0,0,0}),
_xlfn._xlws.FILTER(_xlfn._xlws.FILTER(Courses!$B$2:$O$46, IF(NOT(ISERROR(SEARCH(LEFT(A22,FIND(" ",A22)-1), Courses!$B$2:$B$46, 1))), TRUE, FALSE)), {0,0,0,1,0,0,0,0,0,0,0,0,0,0}))
/SUM(_xlfn._xlws.FILTER(_xlfn._xlws.FILTER(Courses!$B$2:$O$46, IF(NOT(ISERROR(SEARCH(LEFT(A22,FIND(" ",A22)-1), Courses!$B$2:$B$46, 1))), TRUE, FALSE)), {0,0,0,1,0,0,0,0,0,0,0,0,0,0})), 0.5)</f>
        <v>7</v>
      </c>
      <c r="I22" s="1">
        <f t="shared" si="1"/>
        <v>0.23204419889502761</v>
      </c>
    </row>
    <row r="23" spans="1:9" x14ac:dyDescent="0.25">
      <c r="A23" s="50" t="s">
        <v>3</v>
      </c>
      <c r="B23" s="47" cm="1">
        <f t="array" ref="B23">MROUND(SUMPRODUCT(_xlfn._xlws.FILTER(_xlfn._xlws.FILTER(Courses!$B$2:$E$46, IF(NOT(ISERROR(SEARCH(LEFT(A23,FIND(" ",A23)-1), Courses!$B$2:$B$46, 1))), TRUE, FALSE)), {0,0,1,0}), _xlfn._xlws.FILTER(_xlfn._xlws.FILTER(Courses!$B$2:$E$46, IF(NOT(ISERROR(SEARCH(LEFT(A23,FIND(" ",A23)-1), Courses!$B$2:$B$46, 1))), TRUE, FALSE)), {0,0,0,1}))/SUM(_xlfn._xlws.FILTER(_xlfn._xlws.FILTER(Courses!$B$2:$E$46, IF(NOT(ISERROR(SEARCH(LEFT(A23,FIND(" ",A23)-1), Courses!$B$2:$B$46, 1))), TRUE, FALSE)), {0,0,0,1})), 0.5)</f>
        <v>0</v>
      </c>
      <c r="C23" s="1" cm="1">
        <f t="array" ref="C23">SUM(_xlfn._xlws.FILTER(_xlfn._xlws.FILTER(Courses!$B$2:$E$46, IF(NOT(ISERROR(SEARCH(LEFT(A23,FIND(" ",A23)-1), Courses!$B$2:$B$46, 1))), TRUE, FALSE)), {0,0,0,1}))</f>
        <v>9</v>
      </c>
      <c r="D23" s="51" cm="1">
        <f t="array" ref="D23">_xlfn.XLOOKUP(1, --ISNUMBER(SEARCH(LEFT(A23,FIND(" ",A23)-1), Courses!$B$2:$B$46)), Courses!$O$2:$O$46, "no match")</f>
        <v>1</v>
      </c>
      <c r="E23" s="1" t="b" cm="1">
        <f t="array" ref="E23">AND(AND(_xlfn._xlws.FILTER(_xlfn._xlws.FILTER(Courses!$B$2:$P$46,IF(NOT(ISERROR(SEARCH(LEFT(A23,FIND(" ",A23)-1),Courses!$B$2:$B$46,1))),TRUE,FALSE)),{0,0,0,0,0,0,0,0,0,0,0,0,0,0,1})), B23&gt;5.99)</f>
        <v>0</v>
      </c>
      <c r="F23" s="1" cm="1">
        <f t="array" ref="F23">MROUND(SUMPRODUCT(
_xlfn._xlws.FILTER(_xlfn._xlws.FILTER(Courses!$B$2:$O$46, IF(NOT(ISERROR(SEARCH(LEFT(A23,FIND(" ",A23)-1), Courses!$B$2:$B$46, 1))), TRUE, FALSE)), {0,0,0,0,0,0,0,1,0,0,0,0,0,0}),
_xlfn._xlws.FILTER(_xlfn._xlws.FILTER(Courses!$B$2:$O$46, IF(NOT(ISERROR(SEARCH(LEFT(A23,FIND(" ",A23)-1), Courses!$B$2:$B$46, 1))), TRUE, FALSE)), {0,0,0,1,0,0,0,0,0,0,0,0,0,0}))
/SUM(_xlfn._xlws.FILTER(_xlfn._xlws.FILTER(Courses!$B$2:$O$46, IF(NOT(ISERROR(SEARCH(LEFT(A23,FIND(" ",A23)-1), Courses!$B$2:$B$46, 1))), TRUE, FALSE)), {0,0,0,1,0,0,0,0,0,0,0,0,0,0})), 0.5)</f>
        <v>9</v>
      </c>
      <c r="G23" s="1">
        <f t="shared" si="0"/>
        <v>0.44751381215469616</v>
      </c>
      <c r="H23" s="1" cm="1">
        <f t="array" ref="H23">MROUND(SUMPRODUCT(
_xlfn._xlws.FILTER(_xlfn._xlws.FILTER(Courses!$B$2:$O$46, IF(NOT(ISERROR(SEARCH(LEFT(A23,FIND(" ",A23)-1), Courses!$B$2:$B$46, 1))), TRUE, FALSE)), {0,0,0,0,0,0,0,0,0,0,1,0,0,0}),
_xlfn._xlws.FILTER(_xlfn._xlws.FILTER(Courses!$B$2:$O$46, IF(NOT(ISERROR(SEARCH(LEFT(A23,FIND(" ",A23)-1), Courses!$B$2:$B$46, 1))), TRUE, FALSE)), {0,0,0,1,0,0,0,0,0,0,0,0,0,0}))
/SUM(_xlfn._xlws.FILTER(_xlfn._xlws.FILTER(Courses!$B$2:$O$46, IF(NOT(ISERROR(SEARCH(LEFT(A23,FIND(" ",A23)-1), Courses!$B$2:$B$46, 1))), TRUE, FALSE)), {0,0,0,1,0,0,0,0,0,0,0,0,0,0})), 0.5)</f>
        <v>7</v>
      </c>
      <c r="I23" s="1">
        <f t="shared" si="1"/>
        <v>0.34806629834254144</v>
      </c>
    </row>
    <row r="24" spans="1:9" x14ac:dyDescent="0.25">
      <c r="A24" s="1" t="s">
        <v>23</v>
      </c>
      <c r="B24" s="47" cm="1">
        <f t="array" ref="B24">MROUND(SUMPRODUCT(_xlfn._xlws.FILTER(_xlfn._xlws.FILTER(Courses!$B$2:$E$46, IF(NOT(ISERROR(SEARCH(LEFT(A24,FIND(" ",A24)-1), Courses!$B$2:$B$46, 1))), TRUE, FALSE)), {0,0,1,0}), _xlfn._xlws.FILTER(_xlfn._xlws.FILTER(Courses!$B$2:$E$46, IF(NOT(ISERROR(SEARCH(LEFT(A24,FIND(" ",A24)-1), Courses!$B$2:$B$46, 1))), TRUE, FALSE)), {0,0,0,1}))/SUM(_xlfn._xlws.FILTER(_xlfn._xlws.FILTER(Courses!$B$2:$E$46, IF(NOT(ISERROR(SEARCH(LEFT(A24,FIND(" ",A24)-1), Courses!$B$2:$B$46, 1))), TRUE, FALSE)), {0,0,0,1})), 0.5)</f>
        <v>0</v>
      </c>
      <c r="C24" s="1" cm="1">
        <f t="array" ref="C24">SUM(_xlfn._xlws.FILTER(_xlfn._xlws.FILTER(Courses!$B$2:$E$46, IF(NOT(ISERROR(SEARCH(LEFT(A24,FIND(" ",A24)-1), Courses!$B$2:$B$46, 1))), TRUE, FALSE)), {0,0,0,1}))</f>
        <v>2</v>
      </c>
      <c r="D24" s="51" cm="1">
        <f t="array" ref="D24">_xlfn.XLOOKUP(1, --ISNUMBER(SEARCH(LEFT(A24,FIND(" ",A24)-1), Courses!$B$2:$B$46)), Courses!$O$2:$O$46, "no match")</f>
        <v>1</v>
      </c>
      <c r="E24" s="1" t="b" cm="1">
        <f t="array" ref="E24">AND(AND(_xlfn._xlws.FILTER(_xlfn._xlws.FILTER(Courses!$B$2:$P$46,IF(NOT(ISERROR(SEARCH(LEFT(A24,FIND(" ",A24)-1),Courses!$B$2:$B$46,1))),TRUE,FALSE)),{0,0,0,0,0,0,0,0,0,0,0,0,0,0,1})), B24&gt;5.99)</f>
        <v>0</v>
      </c>
      <c r="F24" s="1" cm="1">
        <f t="array" ref="F24">MROUND(SUMPRODUCT(
_xlfn._xlws.FILTER(_xlfn._xlws.FILTER(Courses!$B$2:$O$46, IF(NOT(ISERROR(SEARCH(LEFT(A24,FIND(" ",A24)-1), Courses!$B$2:$B$46, 1))), TRUE, FALSE)), {0,0,0,0,0,0,0,1,0,0,0,0,0,0}),
_xlfn._xlws.FILTER(_xlfn._xlws.FILTER(Courses!$B$2:$O$46, IF(NOT(ISERROR(SEARCH(LEFT(A24,FIND(" ",A24)-1), Courses!$B$2:$B$46, 1))), TRUE, FALSE)), {0,0,0,1,0,0,0,0,0,0,0,0,0,0}))
/SUM(_xlfn._xlws.FILTER(_xlfn._xlws.FILTER(Courses!$B$2:$O$46, IF(NOT(ISERROR(SEARCH(LEFT(A24,FIND(" ",A24)-1), Courses!$B$2:$B$46, 1))), TRUE, FALSE)), {0,0,0,1,0,0,0,0,0,0,0,0,0,0})), 0.5)</f>
        <v>9</v>
      </c>
      <c r="G24" s="1">
        <f t="shared" si="0"/>
        <v>9.9447513812154692E-2</v>
      </c>
      <c r="H24" s="1" cm="1">
        <f t="array" ref="H24">MROUND(SUMPRODUCT(
_xlfn._xlws.FILTER(_xlfn._xlws.FILTER(Courses!$B$2:$O$46, IF(NOT(ISERROR(SEARCH(LEFT(A24,FIND(" ",A24)-1), Courses!$B$2:$B$46, 1))), TRUE, FALSE)), {0,0,0,0,0,0,0,0,0,0,1,0,0,0}),
_xlfn._xlws.FILTER(_xlfn._xlws.FILTER(Courses!$B$2:$O$46, IF(NOT(ISERROR(SEARCH(LEFT(A24,FIND(" ",A24)-1), Courses!$B$2:$B$46, 1))), TRUE, FALSE)), {0,0,0,1,0,0,0,0,0,0,0,0,0,0}))
/SUM(_xlfn._xlws.FILTER(_xlfn._xlws.FILTER(Courses!$B$2:$O$46, IF(NOT(ISERROR(SEARCH(LEFT(A24,FIND(" ",A24)-1), Courses!$B$2:$B$46, 1))), TRUE, FALSE)), {0,0,0,1,0,0,0,0,0,0,0,0,0,0})), 0.5)</f>
        <v>7</v>
      </c>
      <c r="I24" s="1">
        <f t="shared" si="1"/>
        <v>7.7348066298342538E-2</v>
      </c>
    </row>
    <row r="25" spans="1:9" x14ac:dyDescent="0.25">
      <c r="A25" s="50" t="s">
        <v>9</v>
      </c>
      <c r="B25" s="47" cm="1">
        <f t="array" ref="B25">MROUND(SUMPRODUCT(_xlfn._xlws.FILTER(_xlfn._xlws.FILTER(Courses!$B$2:$E$46, IF(NOT(ISERROR(SEARCH(LEFT(A25,FIND(" ",A25)-1), Courses!$B$2:$B$46, 1))), TRUE, FALSE)), {0,0,1,0}), _xlfn._xlws.FILTER(_xlfn._xlws.FILTER(Courses!$B$2:$E$46, IF(NOT(ISERROR(SEARCH(LEFT(A25,FIND(" ",A25)-1), Courses!$B$2:$B$46, 1))), TRUE, FALSE)), {0,0,0,1}))/SUM(_xlfn._xlws.FILTER(_xlfn._xlws.FILTER(Courses!$B$2:$E$46, IF(NOT(ISERROR(SEARCH(LEFT(A25,FIND(" ",A25)-1), Courses!$B$2:$B$46, 1))), TRUE, FALSE)), {0,0,0,1})), 0.5)</f>
        <v>0</v>
      </c>
      <c r="C25" s="1" cm="1">
        <f t="array" ref="C25">SUM(_xlfn._xlws.FILTER(_xlfn._xlws.FILTER(Courses!$B$2:$E$46, IF(NOT(ISERROR(SEARCH(LEFT(A25,FIND(" ",A25)-1), Courses!$B$2:$B$46, 1))), TRUE, FALSE)), {0,0,0,1}))</f>
        <v>7</v>
      </c>
      <c r="D25" s="51" cm="1">
        <f t="array" ref="D25">_xlfn.XLOOKUP(1, --ISNUMBER(SEARCH(LEFT(A25,FIND(" ",A25)-1), Courses!$B$2:$B$46)), Courses!$O$2:$O$46, "no match")</f>
        <v>1</v>
      </c>
      <c r="E25" s="1" t="b" cm="1">
        <f t="array" ref="E25">AND(AND(_xlfn._xlws.FILTER(_xlfn._xlws.FILTER(Courses!$B$2:$P$46,IF(NOT(ISERROR(SEARCH(LEFT(A25,FIND(" ",A25)-1),Courses!$B$2:$B$46,1))),TRUE,FALSE)),{0,0,0,0,0,0,0,0,0,0,0,0,0,0,1})), B25&gt;5.99)</f>
        <v>0</v>
      </c>
      <c r="F25" s="1" cm="1">
        <f t="array" ref="F25">MROUND(SUMPRODUCT(
_xlfn._xlws.FILTER(_xlfn._xlws.FILTER(Courses!$B$2:$O$46, IF(NOT(ISERROR(SEARCH(LEFT(A25,FIND(" ",A25)-1), Courses!$B$2:$B$46, 1))), TRUE, FALSE)), {0,0,0,0,0,0,0,1,0,0,0,0,0,0}),
_xlfn._xlws.FILTER(_xlfn._xlws.FILTER(Courses!$B$2:$O$46, IF(NOT(ISERROR(SEARCH(LEFT(A25,FIND(" ",A25)-1), Courses!$B$2:$B$46, 1))), TRUE, FALSE)), {0,0,0,1,0,0,0,0,0,0,0,0,0,0}))
/SUM(_xlfn._xlws.FILTER(_xlfn._xlws.FILTER(Courses!$B$2:$O$46, IF(NOT(ISERROR(SEARCH(LEFT(A25,FIND(" ",A25)-1), Courses!$B$2:$B$46, 1))), TRUE, FALSE)), {0,0,0,1,0,0,0,0,0,0,0,0,0,0})), 0.5)</f>
        <v>9</v>
      </c>
      <c r="G25" s="1">
        <f t="shared" si="0"/>
        <v>0.34806629834254144</v>
      </c>
      <c r="H25" s="1" cm="1">
        <f t="array" ref="H25">MROUND(SUMPRODUCT(
_xlfn._xlws.FILTER(_xlfn._xlws.FILTER(Courses!$B$2:$O$46, IF(NOT(ISERROR(SEARCH(LEFT(A25,FIND(" ",A25)-1), Courses!$B$2:$B$46, 1))), TRUE, FALSE)), {0,0,0,0,0,0,0,0,0,0,1,0,0,0}),
_xlfn._xlws.FILTER(_xlfn._xlws.FILTER(Courses!$B$2:$O$46, IF(NOT(ISERROR(SEARCH(LEFT(A25,FIND(" ",A25)-1), Courses!$B$2:$B$46, 1))), TRUE, FALSE)), {0,0,0,1,0,0,0,0,0,0,0,0,0,0}))
/SUM(_xlfn._xlws.FILTER(_xlfn._xlws.FILTER(Courses!$B$2:$O$46, IF(NOT(ISERROR(SEARCH(LEFT(A25,FIND(" ",A25)-1), Courses!$B$2:$B$46, 1))), TRUE, FALSE)), {0,0,0,1,0,0,0,0,0,0,0,0,0,0})), 0.5)</f>
        <v>7</v>
      </c>
      <c r="I25" s="1">
        <f t="shared" si="1"/>
        <v>0.27071823204419887</v>
      </c>
    </row>
    <row r="26" spans="1:9" x14ac:dyDescent="0.25">
      <c r="A26" s="50" t="s">
        <v>17</v>
      </c>
      <c r="B26" s="47" cm="1">
        <f t="array" ref="B26">MROUND(SUMPRODUCT(_xlfn._xlws.FILTER(_xlfn._xlws.FILTER(Courses!$B$2:$E$46, IF(NOT(ISERROR(SEARCH(LEFT(A26,FIND(" ",A26)-1), Courses!$B$2:$B$46, 1))), TRUE, FALSE)), {0,0,1,0}), _xlfn._xlws.FILTER(_xlfn._xlws.FILTER(Courses!$B$2:$E$46, IF(NOT(ISERROR(SEARCH(LEFT(A26,FIND(" ",A26)-1), Courses!$B$2:$B$46, 1))), TRUE, FALSE)), {0,0,0,1}))/SUM(_xlfn._xlws.FILTER(_xlfn._xlws.FILTER(Courses!$B$2:$E$46, IF(NOT(ISERROR(SEARCH(LEFT(A26,FIND(" ",A26)-1), Courses!$B$2:$B$46, 1))), TRUE, FALSE)), {0,0,0,1})), 0.5)</f>
        <v>0</v>
      </c>
      <c r="C26" s="1" cm="1">
        <f t="array" ref="C26">SUM(_xlfn._xlws.FILTER(_xlfn._xlws.FILTER(Courses!$B$2:$E$46, IF(NOT(ISERROR(SEARCH(LEFT(A26,FIND(" ",A26)-1), Courses!$B$2:$B$46, 1))), TRUE, FALSE)), {0,0,0,1}))</f>
        <v>5</v>
      </c>
      <c r="D26" s="51" cm="1">
        <f t="array" ref="D26">_xlfn.XLOOKUP(1, --ISNUMBER(SEARCH(LEFT(A26,FIND(" ",A26)-1), Courses!$B$2:$B$46)), Courses!$O$2:$O$46, "no match")</f>
        <v>1</v>
      </c>
      <c r="E26" s="1" t="b" cm="1">
        <f t="array" ref="E26">AND(AND(_xlfn._xlws.FILTER(_xlfn._xlws.FILTER(Courses!$B$2:$P$46,IF(NOT(ISERROR(SEARCH(LEFT(A26,FIND(" ",A26)-1),Courses!$B$2:$B$46,1))),TRUE,FALSE)),{0,0,0,0,0,0,0,0,0,0,0,0,0,0,1})), B26&gt;5.99)</f>
        <v>0</v>
      </c>
      <c r="F26" s="1" cm="1">
        <f t="array" ref="F26">MROUND(SUMPRODUCT(
_xlfn._xlws.FILTER(_xlfn._xlws.FILTER(Courses!$B$2:$O$46, IF(NOT(ISERROR(SEARCH(LEFT(A26,FIND(" ",A26)-1), Courses!$B$2:$B$46, 1))), TRUE, FALSE)), {0,0,0,0,0,0,0,1,0,0,0,0,0,0}),
_xlfn._xlws.FILTER(_xlfn._xlws.FILTER(Courses!$B$2:$O$46, IF(NOT(ISERROR(SEARCH(LEFT(A26,FIND(" ",A26)-1), Courses!$B$2:$B$46, 1))), TRUE, FALSE)), {0,0,0,1,0,0,0,0,0,0,0,0,0,0}))
/SUM(_xlfn._xlws.FILTER(_xlfn._xlws.FILTER(Courses!$B$2:$O$46, IF(NOT(ISERROR(SEARCH(LEFT(A26,FIND(" ",A26)-1), Courses!$B$2:$B$46, 1))), TRUE, FALSE)), {0,0,0,1,0,0,0,0,0,0,0,0,0,0})), 0.5)</f>
        <v>9</v>
      </c>
      <c r="G26" s="1">
        <f t="shared" si="0"/>
        <v>0.24861878453038674</v>
      </c>
      <c r="H26" s="1" cm="1">
        <f t="array" ref="H26">MROUND(SUMPRODUCT(
_xlfn._xlws.FILTER(_xlfn._xlws.FILTER(Courses!$B$2:$O$46, IF(NOT(ISERROR(SEARCH(LEFT(A26,FIND(" ",A26)-1), Courses!$B$2:$B$46, 1))), TRUE, FALSE)), {0,0,0,0,0,0,0,0,0,0,1,0,0,0}),
_xlfn._xlws.FILTER(_xlfn._xlws.FILTER(Courses!$B$2:$O$46, IF(NOT(ISERROR(SEARCH(LEFT(A26,FIND(" ",A26)-1), Courses!$B$2:$B$46, 1))), TRUE, FALSE)), {0,0,0,1,0,0,0,0,0,0,0,0,0,0}))
/SUM(_xlfn._xlws.FILTER(_xlfn._xlws.FILTER(Courses!$B$2:$O$46, IF(NOT(ISERROR(SEARCH(LEFT(A26,FIND(" ",A26)-1), Courses!$B$2:$B$46, 1))), TRUE, FALSE)), {0,0,0,1,0,0,0,0,0,0,0,0,0,0})), 0.5)</f>
        <v>7</v>
      </c>
      <c r="I26" s="1">
        <f t="shared" si="1"/>
        <v>0.19337016574585636</v>
      </c>
    </row>
    <row r="27" spans="1:9" x14ac:dyDescent="0.25">
      <c r="A27" s="50" t="s">
        <v>2</v>
      </c>
      <c r="B27" s="47" cm="1">
        <f t="array" ref="B27">MROUND(SUMPRODUCT(_xlfn._xlws.FILTER(_xlfn._xlws.FILTER(Courses!$B$2:$E$46, IF(NOT(ISERROR(SEARCH(LEFT(A27,FIND(" ",A27)-1), Courses!$B$2:$B$46, 1))), TRUE, FALSE)), {0,0,1,0}), _xlfn._xlws.FILTER(_xlfn._xlws.FILTER(Courses!$B$2:$E$46, IF(NOT(ISERROR(SEARCH(LEFT(A27,FIND(" ",A27)-1), Courses!$B$2:$B$46, 1))), TRUE, FALSE)), {0,0,0,1}))/SUM(_xlfn._xlws.FILTER(_xlfn._xlws.FILTER(Courses!$B$2:$E$46, IF(NOT(ISERROR(SEARCH(LEFT(A27,FIND(" ",A27)-1), Courses!$B$2:$B$46, 1))), TRUE, FALSE)), {0,0,0,1})), 0.5)</f>
        <v>0</v>
      </c>
      <c r="C27" s="1" cm="1">
        <f t="array" ref="C27">SUM(_xlfn._xlws.FILTER(_xlfn._xlws.FILTER(Courses!$B$2:$E$46, IF(NOT(ISERROR(SEARCH(LEFT(A27,FIND(" ",A27)-1), Courses!$B$2:$B$46, 1))), TRUE, FALSE)), {0,0,0,1}))</f>
        <v>9</v>
      </c>
      <c r="D27" s="51" cm="1">
        <f t="array" ref="D27">_xlfn.XLOOKUP(1, --ISNUMBER(SEARCH(LEFT(A27,FIND(" ",A27)-1), Courses!$B$2:$B$46)), Courses!$O$2:$O$46, "no match")</f>
        <v>1</v>
      </c>
      <c r="E27" s="1" t="b" cm="1">
        <f t="array" ref="E27">AND(AND(_xlfn._xlws.FILTER(_xlfn._xlws.FILTER(Courses!$B$2:$P$46,IF(NOT(ISERROR(SEARCH(LEFT(A27,FIND(" ",A27)-1),Courses!$B$2:$B$46,1))),TRUE,FALSE)),{0,0,0,0,0,0,0,0,0,0,0,0,0,0,1})), B27&gt;5.99)</f>
        <v>0</v>
      </c>
      <c r="F27" s="1" cm="1">
        <f t="array" ref="F27">MROUND(SUMPRODUCT(
_xlfn._xlws.FILTER(_xlfn._xlws.FILTER(Courses!$B$2:$O$46, IF(NOT(ISERROR(SEARCH(LEFT(A27,FIND(" ",A27)-1), Courses!$B$2:$B$46, 1))), TRUE, FALSE)), {0,0,0,0,0,0,0,1,0,0,0,0,0,0}),
_xlfn._xlws.FILTER(_xlfn._xlws.FILTER(Courses!$B$2:$O$46, IF(NOT(ISERROR(SEARCH(LEFT(A27,FIND(" ",A27)-1), Courses!$B$2:$B$46, 1))), TRUE, FALSE)), {0,0,0,1,0,0,0,0,0,0,0,0,0,0}))
/SUM(_xlfn._xlws.FILTER(_xlfn._xlws.FILTER(Courses!$B$2:$O$46, IF(NOT(ISERROR(SEARCH(LEFT(A27,FIND(" ",A27)-1), Courses!$B$2:$B$46, 1))), TRUE, FALSE)), {0,0,0,1,0,0,0,0,0,0,0,0,0,0})), 0.5)</f>
        <v>9</v>
      </c>
      <c r="G27" s="1">
        <f t="shared" si="0"/>
        <v>0.44751381215469616</v>
      </c>
      <c r="H27" s="1" cm="1">
        <f t="array" ref="H27">MROUND(SUMPRODUCT(
_xlfn._xlws.FILTER(_xlfn._xlws.FILTER(Courses!$B$2:$O$46, IF(NOT(ISERROR(SEARCH(LEFT(A27,FIND(" ",A27)-1), Courses!$B$2:$B$46, 1))), TRUE, FALSE)), {0,0,0,0,0,0,0,0,0,0,1,0,0,0}),
_xlfn._xlws.FILTER(_xlfn._xlws.FILTER(Courses!$B$2:$O$46, IF(NOT(ISERROR(SEARCH(LEFT(A27,FIND(" ",A27)-1), Courses!$B$2:$B$46, 1))), TRUE, FALSE)), {0,0,0,1,0,0,0,0,0,0,0,0,0,0}))
/SUM(_xlfn._xlws.FILTER(_xlfn._xlws.FILTER(Courses!$B$2:$O$46, IF(NOT(ISERROR(SEARCH(LEFT(A27,FIND(" ",A27)-1), Courses!$B$2:$B$46, 1))), TRUE, FALSE)), {0,0,0,1,0,0,0,0,0,0,0,0,0,0})), 0.5)</f>
        <v>7</v>
      </c>
      <c r="I27" s="1">
        <f t="shared" si="1"/>
        <v>0.34806629834254144</v>
      </c>
    </row>
    <row r="28" spans="1:9" x14ac:dyDescent="0.25">
      <c r="A28" s="50" t="s">
        <v>13</v>
      </c>
      <c r="B28" s="47" cm="1">
        <f t="array" ref="B28">MROUND(SUMPRODUCT(_xlfn._xlws.FILTER(_xlfn._xlws.FILTER(Courses!$B$2:$E$46, IF(NOT(ISERROR(SEARCH(LEFT(A28,FIND(" ",A28)-1), Courses!$B$2:$B$46, 1))), TRUE, FALSE)), {0,0,1,0}), _xlfn._xlws.FILTER(_xlfn._xlws.FILTER(Courses!$B$2:$E$46, IF(NOT(ISERROR(SEARCH(LEFT(A28,FIND(" ",A28)-1), Courses!$B$2:$B$46, 1))), TRUE, FALSE)), {0,0,0,1}))/SUM(_xlfn._xlws.FILTER(_xlfn._xlws.FILTER(Courses!$B$2:$E$46, IF(NOT(ISERROR(SEARCH(LEFT(A28,FIND(" ",A28)-1), Courses!$B$2:$B$46, 1))), TRUE, FALSE)), {0,0,0,1})), 0.5)</f>
        <v>0</v>
      </c>
      <c r="C28" s="1" cm="1">
        <f t="array" ref="C28">SUM(_xlfn._xlws.FILTER(_xlfn._xlws.FILTER(Courses!$B$2:$E$46, IF(NOT(ISERROR(SEARCH(LEFT(A28,FIND(" ",A28)-1), Courses!$B$2:$B$46, 1))), TRUE, FALSE)), {0,0,0,1}))</f>
        <v>6</v>
      </c>
      <c r="D28" s="51" cm="1">
        <f t="array" ref="D28">_xlfn.XLOOKUP(1, --ISNUMBER(SEARCH(LEFT(A28,FIND(" ",A28)-1), Courses!$B$2:$B$46)), Courses!$O$2:$O$46, "no match")</f>
        <v>1</v>
      </c>
      <c r="E28" s="1" t="b" cm="1">
        <f t="array" ref="E28">AND(AND(_xlfn._xlws.FILTER(_xlfn._xlws.FILTER(Courses!$B$2:$P$46,IF(NOT(ISERROR(SEARCH(LEFT(A28,FIND(" ",A28)-1),Courses!$B$2:$B$46,1))),TRUE,FALSE)),{0,0,0,0,0,0,0,0,0,0,0,0,0,0,1})), B28&gt;5.99)</f>
        <v>0</v>
      </c>
      <c r="F28" s="1" cm="1">
        <f t="array" ref="F28">MROUND(SUMPRODUCT(
_xlfn._xlws.FILTER(_xlfn._xlws.FILTER(Courses!$B$2:$O$46, IF(NOT(ISERROR(SEARCH(LEFT(A28,FIND(" ",A28)-1), Courses!$B$2:$B$46, 1))), TRUE, FALSE)), {0,0,0,0,0,0,0,1,0,0,0,0,0,0}),
_xlfn._xlws.FILTER(_xlfn._xlws.FILTER(Courses!$B$2:$O$46, IF(NOT(ISERROR(SEARCH(LEFT(A28,FIND(" ",A28)-1), Courses!$B$2:$B$46, 1))), TRUE, FALSE)), {0,0,0,1,0,0,0,0,0,0,0,0,0,0}))
/SUM(_xlfn._xlws.FILTER(_xlfn._xlws.FILTER(Courses!$B$2:$O$46, IF(NOT(ISERROR(SEARCH(LEFT(A28,FIND(" ",A28)-1), Courses!$B$2:$B$46, 1))), TRUE, FALSE)), {0,0,0,1,0,0,0,0,0,0,0,0,0,0})), 0.5)</f>
        <v>9</v>
      </c>
      <c r="G28" s="1">
        <f t="shared" si="0"/>
        <v>0.2983425414364641</v>
      </c>
      <c r="H28" s="1" cm="1">
        <f t="array" ref="H28">MROUND(SUMPRODUCT(
_xlfn._xlws.FILTER(_xlfn._xlws.FILTER(Courses!$B$2:$O$46, IF(NOT(ISERROR(SEARCH(LEFT(A28,FIND(" ",A28)-1), Courses!$B$2:$B$46, 1))), TRUE, FALSE)), {0,0,0,0,0,0,0,0,0,0,1,0,0,0}),
_xlfn._xlws.FILTER(_xlfn._xlws.FILTER(Courses!$B$2:$O$46, IF(NOT(ISERROR(SEARCH(LEFT(A28,FIND(" ",A28)-1), Courses!$B$2:$B$46, 1))), TRUE, FALSE)), {0,0,0,1,0,0,0,0,0,0,0,0,0,0}))
/SUM(_xlfn._xlws.FILTER(_xlfn._xlws.FILTER(Courses!$B$2:$O$46, IF(NOT(ISERROR(SEARCH(LEFT(A28,FIND(" ",A28)-1), Courses!$B$2:$B$46, 1))), TRUE, FALSE)), {0,0,0,1,0,0,0,0,0,0,0,0,0,0})), 0.5)</f>
        <v>7</v>
      </c>
      <c r="I28" s="1">
        <f t="shared" si="1"/>
        <v>0.23204419889502761</v>
      </c>
    </row>
  </sheetData>
  <sortState xmlns:xlrd2="http://schemas.microsoft.com/office/spreadsheetml/2017/richdata2" ref="A2:D28">
    <sortCondition descending="1" ref="D2:D28"/>
  </sortState>
  <conditionalFormatting sqref="D2:D28">
    <cfRule type="expression" dxfId="5" priority="3">
      <formula>$D2="Minor"</formula>
    </cfRule>
    <cfRule type="expression" dxfId="4" priority="4">
      <formula>$D2=1</formula>
    </cfRule>
    <cfRule type="expression" dxfId="3" priority="5">
      <formula>$D2=2</formula>
    </cfRule>
    <cfRule type="expression" dxfId="2" priority="6">
      <formula>$D2=3</formula>
    </cfRule>
  </conditionalFormatting>
  <conditionalFormatting sqref="E2:E28">
    <cfRule type="expression" dxfId="1" priority="1">
      <formula>E2=FALSE</formula>
    </cfRule>
    <cfRule type="expression" dxfId="0" priority="2">
      <formula>E2=TRUE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0AC0-EC1A-4AEE-9B0D-77C7FC7518D0}">
  <sheetPr codeName="Sheet5"/>
  <dimension ref="A1:AT20"/>
  <sheetViews>
    <sheetView workbookViewId="0">
      <selection activeCell="B6" sqref="B6"/>
    </sheetView>
  </sheetViews>
  <sheetFormatPr defaultRowHeight="14.3" x14ac:dyDescent="0.25"/>
  <cols>
    <col min="1" max="1" width="49" style="1" customWidth="1"/>
    <col min="2" max="2" width="41.125" style="1" customWidth="1"/>
    <col min="3" max="16384" width="9" style="1"/>
  </cols>
  <sheetData>
    <row r="1" spans="1:46" x14ac:dyDescent="0.25">
      <c r="A1" s="59" t="s">
        <v>77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spans="1:46" x14ac:dyDescent="0.25">
      <c r="A2" s="45" t="s">
        <v>73</v>
      </c>
      <c r="B2" s="1" t="str">
        <f>LEFT(Modules!A2,FIND(" ",Modules!A2)-1)</f>
        <v>WB3703</v>
      </c>
    </row>
    <row r="3" spans="1:46" x14ac:dyDescent="0.25">
      <c r="A3" s="45" t="s">
        <v>69</v>
      </c>
      <c r="B3" s="1" t="b" cm="1">
        <f t="array" ref="B3:AT3">TRANSPOSE(IF(NOT(ISERROR(SEARCH(LEFT(Modules!A21,FIND(" ",Modules!A21)-1), Courses!B2:B46, 1))), TRUE, FALSE))</f>
        <v>0</v>
      </c>
      <c r="C3" s="1" t="b">
        <v>0</v>
      </c>
      <c r="D3" s="1" t="b">
        <v>0</v>
      </c>
      <c r="E3" s="1" t="b">
        <v>0</v>
      </c>
      <c r="F3" s="1" t="b">
        <v>1</v>
      </c>
      <c r="G3" s="1" t="b">
        <v>0</v>
      </c>
      <c r="H3" s="1" t="b">
        <v>0</v>
      </c>
      <c r="I3" s="1" t="b">
        <v>0</v>
      </c>
      <c r="J3" s="1" t="b">
        <v>1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b">
        <v>0</v>
      </c>
      <c r="T3" s="1" t="b">
        <v>0</v>
      </c>
      <c r="U3" s="1" t="b">
        <v>0</v>
      </c>
      <c r="V3" s="1" t="b">
        <v>0</v>
      </c>
      <c r="W3" s="1" t="b">
        <v>0</v>
      </c>
      <c r="X3" s="1" t="b">
        <v>0</v>
      </c>
      <c r="Y3" s="1" t="b">
        <v>0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v>0</v>
      </c>
      <c r="AF3" s="1" t="b">
        <v>0</v>
      </c>
      <c r="AG3" s="1" t="b">
        <v>0</v>
      </c>
      <c r="AH3" s="1" t="b">
        <v>0</v>
      </c>
      <c r="AI3" s="1" t="b">
        <v>0</v>
      </c>
      <c r="AJ3" s="1" t="b">
        <v>0</v>
      </c>
      <c r="AK3" s="1" t="b">
        <v>0</v>
      </c>
      <c r="AL3" s="1" t="b">
        <v>0</v>
      </c>
      <c r="AM3" s="1" t="b">
        <v>0</v>
      </c>
      <c r="AN3" s="1" t="b">
        <v>0</v>
      </c>
      <c r="AO3" s="1" t="b">
        <v>0</v>
      </c>
      <c r="AP3" s="1" t="b">
        <v>0</v>
      </c>
      <c r="AQ3" s="1" t="b">
        <v>0</v>
      </c>
      <c r="AR3" s="1" t="b">
        <v>0</v>
      </c>
      <c r="AS3" s="1" t="b">
        <v>0</v>
      </c>
      <c r="AT3" s="1" t="b">
        <v>0</v>
      </c>
    </row>
    <row r="4" spans="1:46" x14ac:dyDescent="0.25">
      <c r="A4" s="45" t="s">
        <v>70</v>
      </c>
      <c r="B4" s="1" t="str" cm="1">
        <f t="array" ref="B4:E4">_xlfn._xlws.FILTER(Courses!$B$2:$E$46, IF(NOT(ISERROR(SEARCH(LEFT(Modules!A2,FIND(" ",Modules!A2)-1), Courses!$B$2:$B$46, 1))), TRUE, FALSE))</f>
        <v>WB3703 Introduction to ROS</v>
      </c>
      <c r="C4" s="1">
        <v>1</v>
      </c>
      <c r="D4" s="1">
        <v>0</v>
      </c>
      <c r="E4" s="1">
        <v>2</v>
      </c>
    </row>
    <row r="5" spans="1:46" x14ac:dyDescent="0.25">
      <c r="A5" s="45" t="s">
        <v>71</v>
      </c>
      <c r="B5" s="1" cm="1">
        <f t="array" ref="B5:C5">_xlfn._xlws.FILTER(_xlfn._xlws.FILTER(Courses!$B$2:$E$46, IF(NOT(ISERROR(SEARCH(LEFT(Modules!A2,FIND(" ",Modules!A2)-1), Courses!$B$2:$B$46, 1))), TRUE, FALSE)), {0,0,1,1})</f>
        <v>0</v>
      </c>
      <c r="C5" s="1">
        <v>2</v>
      </c>
    </row>
    <row r="6" spans="1:46" x14ac:dyDescent="0.25">
      <c r="A6" s="45" t="s">
        <v>72</v>
      </c>
      <c r="B6" s="1" cm="1">
        <f t="array" ref="B6">MROUND(SUMPRODUCT(_xlfn._xlws.FILTER(_xlfn._xlws.FILTER(Courses!$B$2:$E$46, IF(NOT(ISERROR(SEARCH(LEFT(Modules!A2,FIND(" ",Modules!A2)-1), Courses!$B$2:$B$46, 1))), TRUE, FALSE)), {0,0,1,0}), _xlfn._xlws.FILTER(_xlfn._xlws.FILTER(Courses!$B$2:$E$46, IF(NOT(ISERROR(SEARCH(LEFT(Modules!A2,FIND(" ",Modules!A2)-1), Courses!$B$2:$B$46, 1))), TRUE, FALSE)), {0,0,0,1}))/SUM(_xlfn._xlws.FILTER(_xlfn._xlws.FILTER(Courses!$B$2:$E$46, IF(NOT(ISERROR(SEARCH(LEFT(Modules!A2,FIND(" ",Modules!A2)-1), Courses!$B$2:$B$46, 1))), TRUE, FALSE)), {0,0,0,1})), 0.5)</f>
        <v>0</v>
      </c>
    </row>
    <row r="7" spans="1:46" x14ac:dyDescent="0.25">
      <c r="A7" s="45" t="s">
        <v>119</v>
      </c>
      <c r="B7" s="1" cm="1">
        <f t="array" ref="B7:AT7">TRANSPOSE(ISBLANK(Courses!D2:D46)+Courses!G2:G46)</f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P7" s="1">
        <v>1</v>
      </c>
      <c r="AQ7" s="1">
        <v>1</v>
      </c>
      <c r="AR7" s="1">
        <v>1</v>
      </c>
      <c r="AS7" s="1">
        <v>1</v>
      </c>
      <c r="AT7" s="1">
        <v>1</v>
      </c>
    </row>
    <row r="8" spans="1:46" x14ac:dyDescent="0.25">
      <c r="A8" s="45" t="s">
        <v>120</v>
      </c>
      <c r="B8" s="1" cm="1">
        <f t="array" ref="B8:AT8">TRANSPOSE((Courses!G2:G46=1)+ISBLANK(Courses!D2:D46))</f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1</v>
      </c>
      <c r="AS8" s="1">
        <v>1</v>
      </c>
      <c r="AT8" s="1">
        <v>1</v>
      </c>
    </row>
    <row r="9" spans="1:46" x14ac:dyDescent="0.25">
      <c r="A9" s="45"/>
    </row>
    <row r="10" spans="1:46" x14ac:dyDescent="0.25">
      <c r="A10" s="59" t="s">
        <v>78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</row>
    <row r="11" spans="1:46" x14ac:dyDescent="0.25">
      <c r="A11" s="1" t="s">
        <v>80</v>
      </c>
      <c r="B11" s="1" cm="1">
        <f t="array" ref="B11:AT11">TRANSPOSE(((IF(NOT(ISERROR(SEARCH(3,Courses!C2:C46,1))),TRUE,FALSE)=TRUE)+(IF(NOT(ISERROR(SEARCH(4,Courses!C2:C46,1))),TRUE,FALSE)=TRUE)*1))</f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</row>
    <row r="12" spans="1:46" x14ac:dyDescent="0.25">
      <c r="A12" s="45" t="s">
        <v>79</v>
      </c>
      <c r="B12" s="1" cm="1">
        <f t="array" ref="B12:AT12">TRANSPOSE((((IF(NOT(ISERROR(SEARCH(3,Courses!C2:C46,1))),TRUE,FALSE)=TRUE)+(IF(NOT(ISERROR(SEARCH(4,Courses!C2:C46,1))),TRUE,FALSE)=TRUE)*1) = 1)*(Courses!G2:G46 = 1))</f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</row>
    <row r="14" spans="1:46" x14ac:dyDescent="0.25">
      <c r="A14" s="59" t="s">
        <v>109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</row>
    <row r="15" spans="1:46" x14ac:dyDescent="0.25">
      <c r="A15" s="1" t="s">
        <v>111</v>
      </c>
      <c r="B15" s="1" t="str" cm="1">
        <f t="array" aca="1" ref="B15" ca="1">CELL("address",INDEX('Dashboard - Exams'!B11:B42,MATCH("Q2",'Dashboard - Exams'!B11:B42,0)))</f>
        <v>'[gpa - template.xlsm]Dashboard - Exams'!$B$28</v>
      </c>
    </row>
    <row r="16" spans="1:46" x14ac:dyDescent="0.25">
      <c r="A16" s="1" t="s">
        <v>108</v>
      </c>
      <c r="B16" s="1" t="str">
        <f ca="1">RIGHT(B15,2)</f>
        <v>28</v>
      </c>
    </row>
    <row r="17" spans="1:2" x14ac:dyDescent="0.25">
      <c r="A17" s="1" t="s">
        <v>112</v>
      </c>
      <c r="B17" s="1" t="str" cm="1">
        <f t="array" aca="1" ref="B17" ca="1">LEFT(CELL("address",INDEX('Dashboard - Exams'!B11:B42,MATCH("Q2",'Dashboard - Exams'!B11:B42,0))),LEN(CELL("address",INDEX('Dashboard - Exams'!B11:B42,MATCH("Q2",'Dashboard - Exams'!B11:B42,0))))-2)&amp;VALUE(RIGHT(CELL("address",INDEX('Dashboard - Exams'!B11:B42,MATCH("Q2",'Dashboard - Exams'!B11:B42,0))),2))+3</f>
        <v>'[gpa - template.xlsm]Dashboard - Exams'!$B$31</v>
      </c>
    </row>
    <row r="18" spans="1:2" x14ac:dyDescent="0.25">
      <c r="A18" s="1" t="s">
        <v>110</v>
      </c>
      <c r="B18" s="1" t="str" cm="1">
        <f t="array" aca="1" ref="B18" ca="1">INDIRECT(B17)</f>
        <v>AE1130-II Dynamics</v>
      </c>
    </row>
    <row r="19" spans="1:2" x14ac:dyDescent="0.25">
      <c r="A19" s="1" t="s">
        <v>113</v>
      </c>
      <c r="B19" s="1" t="str" cm="1">
        <f t="array" aca="1" ref="B19" ca="1">CELL("address", INDIRECT(ADDRESS(ROW(), COLUMN())))</f>
        <v>$B$19</v>
      </c>
    </row>
    <row r="20" spans="1:2" x14ac:dyDescent="0.25">
      <c r="A20" s="1" t="s">
        <v>114</v>
      </c>
      <c r="B20" s="1" cm="1">
        <f t="array" aca="1" ref="B20" ca="1">VALUE(RIGHT(CELL("address",INDIRECT(ADDRESS(ROW(),COLUMN()))),2))-4</f>
        <v>16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 - Quarter</vt:lpstr>
      <vt:lpstr>Dashboard - Exams</vt:lpstr>
      <vt:lpstr>Dashboard - Overview</vt:lpstr>
      <vt:lpstr>Courses</vt:lpstr>
      <vt:lpstr>Modules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2021-05-09T16:54:54Z</dcterms:modified>
</cp:coreProperties>
</file>